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LDIGEN\"/>
    </mc:Choice>
  </mc:AlternateContent>
  <xr:revisionPtr revIDLastSave="0" documentId="13_ncr:1_{D76EA83F-8382-4403-8DCC-2C85C5585280}" xr6:coauthVersionLast="47" xr6:coauthVersionMax="47" xr10:uidLastSave="{00000000-0000-0000-0000-000000000000}"/>
  <bookViews>
    <workbookView xWindow="-120" yWindow="-120" windowWidth="29040" windowHeight="15720" xr2:uid="{DA51F316-75AF-4624-A89E-4546A8701E64}"/>
  </bookViews>
  <sheets>
    <sheet name="Inven-Mei" sheetId="1" r:id="rId1"/>
  </sheets>
  <definedNames>
    <definedName name="_xlnm._FilterDatabase" localSheetId="0" hidden="1">'Inven-Mei'!$A$5:$F$538</definedName>
    <definedName name="_xlnm.Print_Area" localSheetId="0">Table946[[#Headers],[#Data],[No.]:[Stock Awal]]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39" i="1" l="1"/>
  <c r="L538" i="1"/>
  <c r="A538" i="1" a="1"/>
  <c r="A538" i="1" s="1"/>
  <c r="L537" i="1"/>
  <c r="A537" i="1" a="1"/>
  <c r="A537" i="1" s="1"/>
  <c r="L536" i="1"/>
  <c r="A536" i="1" a="1"/>
  <c r="A536" i="1" s="1"/>
  <c r="L535" i="1"/>
  <c r="A535" i="1" a="1"/>
  <c r="A535" i="1" s="1"/>
  <c r="L534" i="1"/>
  <c r="A534" i="1" a="1"/>
  <c r="A534" i="1" s="1"/>
  <c r="L533" i="1"/>
  <c r="A533" i="1" a="1"/>
  <c r="A533" i="1" s="1"/>
  <c r="L532" i="1"/>
  <c r="A532" i="1" a="1"/>
  <c r="A532" i="1" s="1"/>
  <c r="L531" i="1"/>
  <c r="A531" i="1" a="1"/>
  <c r="A531" i="1" s="1"/>
  <c r="L530" i="1"/>
  <c r="A530" i="1" a="1"/>
  <c r="A530" i="1" s="1"/>
  <c r="L529" i="1"/>
  <c r="A529" i="1" a="1"/>
  <c r="A529" i="1" s="1"/>
  <c r="L528" i="1"/>
  <c r="A528" i="1" a="1"/>
  <c r="A528" i="1" s="1"/>
  <c r="L527" i="1"/>
  <c r="A527" i="1" a="1"/>
  <c r="A527" i="1" s="1"/>
  <c r="L526" i="1"/>
  <c r="A526" i="1" a="1"/>
  <c r="A526" i="1" s="1"/>
  <c r="L525" i="1"/>
  <c r="A525" i="1" a="1"/>
  <c r="A525" i="1" s="1"/>
  <c r="L524" i="1"/>
  <c r="A524" i="1" a="1"/>
  <c r="A524" i="1" s="1"/>
  <c r="L523" i="1"/>
  <c r="A523" i="1" a="1"/>
  <c r="A523" i="1" s="1"/>
  <c r="L522" i="1"/>
  <c r="A522" i="1" a="1"/>
  <c r="A522" i="1" s="1"/>
  <c r="L521" i="1"/>
  <c r="A521" i="1" a="1"/>
  <c r="A521" i="1" s="1"/>
  <c r="L520" i="1"/>
  <c r="A520" i="1" a="1"/>
  <c r="A520" i="1" s="1"/>
  <c r="L519" i="1"/>
  <c r="A519" i="1" a="1"/>
  <c r="A519" i="1" s="1"/>
  <c r="L518" i="1"/>
  <c r="A518" i="1" a="1"/>
  <c r="A518" i="1" s="1"/>
  <c r="L517" i="1"/>
  <c r="A517" i="1" a="1"/>
  <c r="A517" i="1" s="1"/>
  <c r="L516" i="1"/>
  <c r="A516" i="1" a="1"/>
  <c r="A516" i="1" s="1"/>
  <c r="A515" i="1" a="1"/>
  <c r="A515" i="1" s="1"/>
  <c r="L514" i="1"/>
  <c r="A514" i="1" a="1"/>
  <c r="A514" i="1" s="1"/>
  <c r="L513" i="1"/>
  <c r="A513" i="1" a="1"/>
  <c r="A513" i="1" s="1"/>
  <c r="L512" i="1"/>
  <c r="A512" i="1" a="1"/>
  <c r="A512" i="1" s="1"/>
  <c r="A511" i="1" a="1"/>
  <c r="A511" i="1" s="1"/>
  <c r="L510" i="1"/>
  <c r="A510" i="1" a="1"/>
  <c r="A510" i="1" s="1"/>
  <c r="L509" i="1"/>
  <c r="A509" i="1" a="1"/>
  <c r="A509" i="1" s="1"/>
  <c r="L508" i="1"/>
  <c r="A508" i="1" a="1"/>
  <c r="A508" i="1" s="1"/>
  <c r="A507" i="1" a="1"/>
  <c r="A507" i="1" s="1"/>
  <c r="L506" i="1"/>
  <c r="A506" i="1" a="1"/>
  <c r="A506" i="1" s="1"/>
  <c r="L505" i="1"/>
  <c r="A505" i="1" a="1"/>
  <c r="A505" i="1" s="1"/>
  <c r="L504" i="1"/>
  <c r="A504" i="1" a="1"/>
  <c r="A504" i="1" s="1"/>
  <c r="A503" i="1" a="1"/>
  <c r="A503" i="1" s="1"/>
  <c r="L502" i="1"/>
  <c r="A502" i="1" a="1"/>
  <c r="A502" i="1" s="1"/>
  <c r="L501" i="1"/>
  <c r="A501" i="1" a="1"/>
  <c r="A501" i="1" s="1"/>
  <c r="L500" i="1"/>
  <c r="A500" i="1" a="1"/>
  <c r="A500" i="1" s="1"/>
  <c r="A499" i="1" a="1"/>
  <c r="A499" i="1" s="1"/>
  <c r="L498" i="1"/>
  <c r="A498" i="1" a="1"/>
  <c r="A498" i="1" s="1"/>
  <c r="L497" i="1"/>
  <c r="A497" i="1" a="1"/>
  <c r="A497" i="1" s="1"/>
  <c r="L496" i="1"/>
  <c r="A496" i="1" a="1"/>
  <c r="A496" i="1" s="1"/>
  <c r="A495" i="1" a="1"/>
  <c r="A495" i="1" s="1"/>
  <c r="L494" i="1"/>
  <c r="A494" i="1" a="1"/>
  <c r="A494" i="1" s="1"/>
  <c r="L493" i="1"/>
  <c r="A493" i="1" a="1"/>
  <c r="A493" i="1" s="1"/>
  <c r="L492" i="1"/>
  <c r="A492" i="1" a="1"/>
  <c r="A492" i="1" s="1"/>
  <c r="A491" i="1" a="1"/>
  <c r="A491" i="1" s="1"/>
  <c r="L490" i="1"/>
  <c r="A490" i="1" a="1"/>
  <c r="A490" i="1" s="1"/>
  <c r="L489" i="1"/>
  <c r="A489" i="1" a="1"/>
  <c r="A489" i="1" s="1"/>
  <c r="L488" i="1"/>
  <c r="A488" i="1" a="1"/>
  <c r="A488" i="1" s="1"/>
  <c r="A487" i="1" a="1"/>
  <c r="A487" i="1" s="1"/>
  <c r="L486" i="1"/>
  <c r="A486" i="1" a="1"/>
  <c r="A486" i="1" s="1"/>
  <c r="L485" i="1"/>
  <c r="A485" i="1" a="1"/>
  <c r="A485" i="1" s="1"/>
  <c r="L484" i="1"/>
  <c r="A484" i="1" a="1"/>
  <c r="A484" i="1" s="1"/>
  <c r="A483" i="1" a="1"/>
  <c r="A483" i="1" s="1"/>
  <c r="L482" i="1"/>
  <c r="A482" i="1" a="1"/>
  <c r="A482" i="1" s="1"/>
  <c r="L481" i="1"/>
  <c r="A481" i="1" a="1"/>
  <c r="A481" i="1" s="1"/>
  <c r="L480" i="1"/>
  <c r="A480" i="1" a="1"/>
  <c r="A480" i="1" s="1"/>
  <c r="A479" i="1" a="1"/>
  <c r="A479" i="1" s="1"/>
  <c r="L478" i="1"/>
  <c r="A478" i="1" a="1"/>
  <c r="A478" i="1" s="1"/>
  <c r="L477" i="1"/>
  <c r="A477" i="1" a="1"/>
  <c r="A477" i="1" s="1"/>
  <c r="L476" i="1"/>
  <c r="A476" i="1" a="1"/>
  <c r="A476" i="1" s="1"/>
  <c r="A475" i="1" a="1"/>
  <c r="A475" i="1" s="1"/>
  <c r="L474" i="1"/>
  <c r="A474" i="1" a="1"/>
  <c r="A474" i="1" s="1"/>
  <c r="L473" i="1"/>
  <c r="A473" i="1" a="1"/>
  <c r="A473" i="1" s="1"/>
  <c r="L472" i="1"/>
  <c r="A472" i="1" a="1"/>
  <c r="A472" i="1" s="1"/>
  <c r="A471" i="1" a="1"/>
  <c r="A471" i="1" s="1"/>
  <c r="L470" i="1"/>
  <c r="A470" i="1" a="1"/>
  <c r="A470" i="1" s="1"/>
  <c r="L469" i="1"/>
  <c r="A469" i="1" a="1"/>
  <c r="A469" i="1" s="1"/>
  <c r="L468" i="1"/>
  <c r="A468" i="1" a="1"/>
  <c r="A468" i="1" s="1"/>
  <c r="A467" i="1" a="1"/>
  <c r="A467" i="1" s="1"/>
  <c r="L466" i="1"/>
  <c r="A466" i="1" a="1"/>
  <c r="A466" i="1" s="1"/>
  <c r="L465" i="1"/>
  <c r="A465" i="1" a="1"/>
  <c r="A465" i="1" s="1"/>
  <c r="L464" i="1"/>
  <c r="A464" i="1" a="1"/>
  <c r="A464" i="1" s="1"/>
  <c r="A463" i="1" a="1"/>
  <c r="A463" i="1" s="1"/>
  <c r="L462" i="1"/>
  <c r="A462" i="1" a="1"/>
  <c r="A462" i="1" s="1"/>
  <c r="L461" i="1"/>
  <c r="A461" i="1" a="1"/>
  <c r="A461" i="1" s="1"/>
  <c r="L460" i="1"/>
  <c r="A460" i="1" a="1"/>
  <c r="A460" i="1" s="1"/>
  <c r="A459" i="1" a="1"/>
  <c r="A459" i="1" s="1"/>
  <c r="L458" i="1"/>
  <c r="A458" i="1" a="1"/>
  <c r="A458" i="1" s="1"/>
  <c r="L457" i="1"/>
  <c r="A457" i="1" a="1"/>
  <c r="A457" i="1" s="1"/>
  <c r="L456" i="1"/>
  <c r="A456" i="1" a="1"/>
  <c r="A456" i="1" s="1"/>
  <c r="A455" i="1" a="1"/>
  <c r="A455" i="1" s="1"/>
  <c r="L454" i="1"/>
  <c r="A454" i="1" a="1"/>
  <c r="A454" i="1" s="1"/>
  <c r="L453" i="1"/>
  <c r="A453" i="1" a="1"/>
  <c r="A453" i="1" s="1"/>
  <c r="L452" i="1"/>
  <c r="A452" i="1" a="1"/>
  <c r="A452" i="1" s="1"/>
  <c r="L451" i="1"/>
  <c r="A451" i="1" a="1"/>
  <c r="A451" i="1" s="1"/>
  <c r="L450" i="1"/>
  <c r="A450" i="1" a="1"/>
  <c r="A450" i="1" s="1"/>
  <c r="L449" i="1"/>
  <c r="A449" i="1" a="1"/>
  <c r="A449" i="1" s="1"/>
  <c r="L448" i="1"/>
  <c r="A448" i="1" a="1"/>
  <c r="A448" i="1" s="1"/>
  <c r="L447" i="1"/>
  <c r="A447" i="1" a="1"/>
  <c r="A447" i="1" s="1"/>
  <c r="L446" i="1"/>
  <c r="A446" i="1" a="1"/>
  <c r="A446" i="1" s="1"/>
  <c r="L445" i="1"/>
  <c r="A445" i="1" a="1"/>
  <c r="A445" i="1" s="1"/>
  <c r="L444" i="1"/>
  <c r="A444" i="1" a="1"/>
  <c r="A444" i="1" s="1"/>
  <c r="L443" i="1"/>
  <c r="A443" i="1" a="1"/>
  <c r="A443" i="1" s="1"/>
  <c r="L442" i="1"/>
  <c r="A442" i="1" a="1"/>
  <c r="A442" i="1" s="1"/>
  <c r="L441" i="1"/>
  <c r="A441" i="1" a="1"/>
  <c r="A441" i="1" s="1"/>
  <c r="L440" i="1"/>
  <c r="A440" i="1" a="1"/>
  <c r="A440" i="1" s="1"/>
  <c r="A439" i="1" a="1"/>
  <c r="A439" i="1" s="1"/>
  <c r="L438" i="1"/>
  <c r="A438" i="1" a="1"/>
  <c r="A438" i="1" s="1"/>
  <c r="L437" i="1"/>
  <c r="A437" i="1" a="1"/>
  <c r="A437" i="1" s="1"/>
  <c r="L436" i="1"/>
  <c r="A436" i="1" a="1"/>
  <c r="A436" i="1" s="1"/>
  <c r="A435" i="1" a="1"/>
  <c r="A435" i="1" s="1"/>
  <c r="L434" i="1"/>
  <c r="A434" i="1" a="1"/>
  <c r="A434" i="1" s="1"/>
  <c r="L433" i="1"/>
  <c r="A433" i="1" a="1"/>
  <c r="A433" i="1" s="1"/>
  <c r="L432" i="1"/>
  <c r="A432" i="1" a="1"/>
  <c r="A432" i="1" s="1"/>
  <c r="L431" i="1"/>
  <c r="A431" i="1" a="1"/>
  <c r="A431" i="1" s="1"/>
  <c r="L430" i="1"/>
  <c r="A430" i="1" a="1"/>
  <c r="A430" i="1" s="1"/>
  <c r="L429" i="1"/>
  <c r="A429" i="1" a="1"/>
  <c r="A429" i="1" s="1"/>
  <c r="L428" i="1"/>
  <c r="A428" i="1" a="1"/>
  <c r="A428" i="1" s="1"/>
  <c r="L427" i="1"/>
  <c r="A427" i="1" a="1"/>
  <c r="A427" i="1" s="1"/>
  <c r="L426" i="1"/>
  <c r="A426" i="1" a="1"/>
  <c r="A426" i="1" s="1"/>
  <c r="L425" i="1"/>
  <c r="A425" i="1" a="1"/>
  <c r="A425" i="1" s="1"/>
  <c r="L424" i="1"/>
  <c r="A424" i="1" a="1"/>
  <c r="A424" i="1" s="1"/>
  <c r="A423" i="1" a="1"/>
  <c r="A423" i="1" s="1"/>
  <c r="L422" i="1"/>
  <c r="A422" i="1" a="1"/>
  <c r="A422" i="1" s="1"/>
  <c r="L421" i="1"/>
  <c r="A421" i="1" a="1"/>
  <c r="A421" i="1" s="1"/>
  <c r="L420" i="1"/>
  <c r="A420" i="1" a="1"/>
  <c r="A420" i="1" s="1"/>
  <c r="L419" i="1"/>
  <c r="A419" i="1" a="1"/>
  <c r="A419" i="1" s="1"/>
  <c r="L418" i="1"/>
  <c r="A418" i="1" a="1"/>
  <c r="A418" i="1" s="1"/>
  <c r="L417" i="1"/>
  <c r="A417" i="1" a="1"/>
  <c r="A417" i="1" s="1"/>
  <c r="L416" i="1"/>
  <c r="A416" i="1" a="1"/>
  <c r="A416" i="1" s="1"/>
  <c r="L415" i="1"/>
  <c r="A415" i="1" a="1"/>
  <c r="A415" i="1" s="1"/>
  <c r="L414" i="1"/>
  <c r="A414" i="1" a="1"/>
  <c r="A414" i="1" s="1"/>
  <c r="L413" i="1"/>
  <c r="A413" i="1" a="1"/>
  <c r="A413" i="1" s="1"/>
  <c r="L412" i="1"/>
  <c r="A412" i="1" a="1"/>
  <c r="A412" i="1" s="1"/>
  <c r="L411" i="1"/>
  <c r="A411" i="1" a="1"/>
  <c r="A411" i="1" s="1"/>
  <c r="L410" i="1"/>
  <c r="A410" i="1" a="1"/>
  <c r="A410" i="1" s="1"/>
  <c r="L409" i="1"/>
  <c r="A409" i="1" a="1"/>
  <c r="A409" i="1" s="1"/>
  <c r="L408" i="1"/>
  <c r="A408" i="1" a="1"/>
  <c r="A408" i="1" s="1"/>
  <c r="L407" i="1"/>
  <c r="A407" i="1" a="1"/>
  <c r="A407" i="1" s="1"/>
  <c r="A406" i="1" a="1"/>
  <c r="A406" i="1" s="1"/>
  <c r="L405" i="1"/>
  <c r="A405" i="1" a="1"/>
  <c r="A405" i="1" s="1"/>
  <c r="L404" i="1"/>
  <c r="A404" i="1" a="1"/>
  <c r="A404" i="1" s="1"/>
  <c r="L403" i="1"/>
  <c r="A403" i="1" a="1"/>
  <c r="A403" i="1" s="1"/>
  <c r="A402" i="1" a="1"/>
  <c r="A402" i="1" s="1"/>
  <c r="L401" i="1"/>
  <c r="A401" i="1" a="1"/>
  <c r="A401" i="1" s="1"/>
  <c r="L400" i="1"/>
  <c r="A400" i="1" a="1"/>
  <c r="A400" i="1" s="1"/>
  <c r="L399" i="1"/>
  <c r="A399" i="1" a="1"/>
  <c r="A399" i="1" s="1"/>
  <c r="L398" i="1"/>
  <c r="A398" i="1" a="1"/>
  <c r="A398" i="1" s="1"/>
  <c r="L397" i="1"/>
  <c r="A397" i="1" a="1"/>
  <c r="A397" i="1" s="1"/>
  <c r="L396" i="1"/>
  <c r="A396" i="1" a="1"/>
  <c r="A396" i="1" s="1"/>
  <c r="L395" i="1"/>
  <c r="A395" i="1" a="1"/>
  <c r="A395" i="1" s="1"/>
  <c r="L394" i="1"/>
  <c r="A394" i="1" a="1"/>
  <c r="A394" i="1" s="1"/>
  <c r="L393" i="1"/>
  <c r="A393" i="1" a="1"/>
  <c r="A393" i="1" s="1"/>
  <c r="L392" i="1"/>
  <c r="A392" i="1" a="1"/>
  <c r="A392" i="1" s="1"/>
  <c r="L391" i="1"/>
  <c r="A391" i="1" a="1"/>
  <c r="A391" i="1" s="1"/>
  <c r="A390" i="1" a="1"/>
  <c r="A390" i="1" s="1"/>
  <c r="L389" i="1"/>
  <c r="A389" i="1" a="1"/>
  <c r="A389" i="1" s="1"/>
  <c r="L388" i="1"/>
  <c r="A388" i="1" a="1"/>
  <c r="A388" i="1" s="1"/>
  <c r="L387" i="1"/>
  <c r="A387" i="1" a="1"/>
  <c r="A387" i="1" s="1"/>
  <c r="A386" i="1" a="1"/>
  <c r="A386" i="1" s="1"/>
  <c r="L385" i="1"/>
  <c r="A385" i="1" a="1"/>
  <c r="A385" i="1" s="1"/>
  <c r="L384" i="1"/>
  <c r="A384" i="1" a="1"/>
  <c r="A384" i="1" s="1"/>
  <c r="L383" i="1"/>
  <c r="A383" i="1" a="1"/>
  <c r="A383" i="1" s="1"/>
  <c r="L382" i="1"/>
  <c r="A382" i="1" a="1"/>
  <c r="A382" i="1" s="1"/>
  <c r="L381" i="1"/>
  <c r="A381" i="1" a="1"/>
  <c r="A381" i="1" s="1"/>
  <c r="L380" i="1"/>
  <c r="A380" i="1" a="1"/>
  <c r="A380" i="1" s="1"/>
  <c r="L379" i="1"/>
  <c r="A379" i="1" a="1"/>
  <c r="A379" i="1" s="1"/>
  <c r="L378" i="1"/>
  <c r="A378" i="1" a="1"/>
  <c r="A378" i="1" s="1"/>
  <c r="L377" i="1"/>
  <c r="A377" i="1" a="1"/>
  <c r="A377" i="1" s="1"/>
  <c r="L376" i="1"/>
  <c r="A376" i="1" a="1"/>
  <c r="A376" i="1" s="1"/>
  <c r="L375" i="1"/>
  <c r="A375" i="1" a="1"/>
  <c r="A375" i="1" s="1"/>
  <c r="L374" i="1"/>
  <c r="A374" i="1" a="1"/>
  <c r="A374" i="1" s="1"/>
  <c r="L373" i="1"/>
  <c r="A373" i="1" a="1"/>
  <c r="A373" i="1" s="1"/>
  <c r="L372" i="1"/>
  <c r="A372" i="1" a="1"/>
  <c r="A372" i="1" s="1"/>
  <c r="L371" i="1"/>
  <c r="A371" i="1" a="1"/>
  <c r="A371" i="1" s="1"/>
  <c r="L370" i="1"/>
  <c r="A370" i="1" a="1"/>
  <c r="A370" i="1" s="1"/>
  <c r="L369" i="1"/>
  <c r="A369" i="1" a="1"/>
  <c r="A369" i="1" s="1"/>
  <c r="L368" i="1"/>
  <c r="A368" i="1" a="1"/>
  <c r="A368" i="1" s="1"/>
  <c r="L367" i="1"/>
  <c r="A367" i="1" a="1"/>
  <c r="A367" i="1" s="1"/>
  <c r="L366" i="1"/>
  <c r="A366" i="1" a="1"/>
  <c r="A366" i="1" s="1"/>
  <c r="L365" i="1"/>
  <c r="A365" i="1" a="1"/>
  <c r="A365" i="1" s="1"/>
  <c r="L364" i="1"/>
  <c r="A364" i="1" a="1"/>
  <c r="A364" i="1" s="1"/>
  <c r="L363" i="1"/>
  <c r="A363" i="1" a="1"/>
  <c r="A363" i="1" s="1"/>
  <c r="L362" i="1"/>
  <c r="A362" i="1" a="1"/>
  <c r="A362" i="1" s="1"/>
  <c r="L361" i="1"/>
  <c r="A361" i="1" a="1"/>
  <c r="A361" i="1" s="1"/>
  <c r="L360" i="1"/>
  <c r="A360" i="1" a="1"/>
  <c r="A360" i="1" s="1"/>
  <c r="L359" i="1"/>
  <c r="A359" i="1" a="1"/>
  <c r="A359" i="1" s="1"/>
  <c r="L358" i="1"/>
  <c r="A358" i="1" a="1"/>
  <c r="A358" i="1" s="1"/>
  <c r="L357" i="1"/>
  <c r="A357" i="1" a="1"/>
  <c r="A357" i="1" s="1"/>
  <c r="L356" i="1"/>
  <c r="A356" i="1" a="1"/>
  <c r="A356" i="1" s="1"/>
  <c r="L355" i="1"/>
  <c r="A355" i="1" a="1"/>
  <c r="A355" i="1" s="1"/>
  <c r="L354" i="1"/>
  <c r="A354" i="1" a="1"/>
  <c r="A354" i="1" s="1"/>
  <c r="L353" i="1"/>
  <c r="A353" i="1" a="1"/>
  <c r="A353" i="1" s="1"/>
  <c r="L352" i="1"/>
  <c r="A352" i="1" a="1"/>
  <c r="A352" i="1" s="1"/>
  <c r="L351" i="1"/>
  <c r="A351" i="1" a="1"/>
  <c r="A351" i="1" s="1"/>
  <c r="L350" i="1"/>
  <c r="A350" i="1" a="1"/>
  <c r="A350" i="1" s="1"/>
  <c r="L349" i="1"/>
  <c r="A349" i="1" a="1"/>
  <c r="A349" i="1" s="1"/>
  <c r="L348" i="1"/>
  <c r="A348" i="1" a="1"/>
  <c r="A348" i="1" s="1"/>
  <c r="L347" i="1"/>
  <c r="A347" i="1" a="1"/>
  <c r="A347" i="1" s="1"/>
  <c r="L346" i="1"/>
  <c r="A346" i="1" a="1"/>
  <c r="A346" i="1" s="1"/>
  <c r="L345" i="1"/>
  <c r="A345" i="1" a="1"/>
  <c r="A345" i="1" s="1"/>
  <c r="L344" i="1"/>
  <c r="A344" i="1" a="1"/>
  <c r="A344" i="1" s="1"/>
  <c r="L343" i="1"/>
  <c r="A343" i="1" a="1"/>
  <c r="A343" i="1" s="1"/>
  <c r="A342" i="1" a="1"/>
  <c r="A342" i="1" s="1"/>
  <c r="L341" i="1"/>
  <c r="A341" i="1" a="1"/>
  <c r="A341" i="1" s="1"/>
  <c r="L340" i="1"/>
  <c r="A340" i="1" a="1"/>
  <c r="A340" i="1" s="1"/>
  <c r="L339" i="1"/>
  <c r="A339" i="1" a="1"/>
  <c r="A339" i="1" s="1"/>
  <c r="L338" i="1"/>
  <c r="A338" i="1" a="1"/>
  <c r="A338" i="1" s="1"/>
  <c r="A337" i="1" a="1"/>
  <c r="A337" i="1" s="1"/>
  <c r="L336" i="1"/>
  <c r="A336" i="1" a="1"/>
  <c r="A336" i="1" s="1"/>
  <c r="L335" i="1"/>
  <c r="A335" i="1" a="1"/>
  <c r="A335" i="1" s="1"/>
  <c r="A334" i="1" a="1"/>
  <c r="A334" i="1" s="1"/>
  <c r="L333" i="1"/>
  <c r="A333" i="1" a="1"/>
  <c r="A333" i="1" s="1"/>
  <c r="L332" i="1"/>
  <c r="A332" i="1" a="1"/>
  <c r="A332" i="1" s="1"/>
  <c r="L331" i="1"/>
  <c r="A331" i="1" a="1"/>
  <c r="A331" i="1" s="1"/>
  <c r="L330" i="1"/>
  <c r="A330" i="1" a="1"/>
  <c r="A330" i="1" s="1"/>
  <c r="L329" i="1"/>
  <c r="A329" i="1" a="1"/>
  <c r="A329" i="1" s="1"/>
  <c r="L328" i="1"/>
  <c r="A328" i="1" a="1"/>
  <c r="A328" i="1" s="1"/>
  <c r="L327" i="1"/>
  <c r="A327" i="1" a="1"/>
  <c r="A327" i="1" s="1"/>
  <c r="L326" i="1"/>
  <c r="A326" i="1" a="1"/>
  <c r="A326" i="1" s="1"/>
  <c r="L325" i="1"/>
  <c r="A325" i="1" a="1"/>
  <c r="A325" i="1" s="1"/>
  <c r="L324" i="1"/>
  <c r="A324" i="1" a="1"/>
  <c r="A324" i="1" s="1"/>
  <c r="L323" i="1"/>
  <c r="A323" i="1" a="1"/>
  <c r="A323" i="1" s="1"/>
  <c r="L322" i="1"/>
  <c r="A322" i="1" a="1"/>
  <c r="A322" i="1" s="1"/>
  <c r="L321" i="1"/>
  <c r="A321" i="1" a="1"/>
  <c r="A321" i="1" s="1"/>
  <c r="L320" i="1"/>
  <c r="A320" i="1" a="1"/>
  <c r="A320" i="1" s="1"/>
  <c r="L319" i="1"/>
  <c r="A319" i="1" a="1"/>
  <c r="A319" i="1" s="1"/>
  <c r="L318" i="1"/>
  <c r="A318" i="1" a="1"/>
  <c r="A318" i="1" s="1"/>
  <c r="L317" i="1"/>
  <c r="A317" i="1" a="1"/>
  <c r="A317" i="1" s="1"/>
  <c r="L316" i="1"/>
  <c r="A316" i="1" a="1"/>
  <c r="A316" i="1" s="1"/>
  <c r="L315" i="1"/>
  <c r="A315" i="1" a="1"/>
  <c r="A315" i="1" s="1"/>
  <c r="L314" i="1"/>
  <c r="A314" i="1" a="1"/>
  <c r="A314" i="1" s="1"/>
  <c r="L313" i="1"/>
  <c r="A313" i="1" a="1"/>
  <c r="A313" i="1" s="1"/>
  <c r="L312" i="1"/>
  <c r="A312" i="1" a="1"/>
  <c r="A312" i="1" s="1"/>
  <c r="L311" i="1"/>
  <c r="A311" i="1" a="1"/>
  <c r="A311" i="1" s="1"/>
  <c r="A310" i="1" a="1"/>
  <c r="A310" i="1" s="1"/>
  <c r="L309" i="1"/>
  <c r="A309" i="1" a="1"/>
  <c r="A309" i="1" s="1"/>
  <c r="L308" i="1"/>
  <c r="A308" i="1" a="1"/>
  <c r="A308" i="1" s="1"/>
  <c r="A307" i="1" a="1"/>
  <c r="A307" i="1" s="1"/>
  <c r="L306" i="1"/>
  <c r="A306" i="1" a="1"/>
  <c r="A306" i="1" s="1"/>
  <c r="L305" i="1"/>
  <c r="A305" i="1" a="1"/>
  <c r="A305" i="1" s="1"/>
  <c r="L304" i="1"/>
  <c r="A304" i="1" a="1"/>
  <c r="A304" i="1" s="1"/>
  <c r="A303" i="1" a="1"/>
  <c r="A303" i="1" s="1"/>
  <c r="A302" i="1" a="1"/>
  <c r="A302" i="1" s="1"/>
  <c r="L301" i="1"/>
  <c r="A301" i="1" a="1"/>
  <c r="A301" i="1" s="1"/>
  <c r="L300" i="1"/>
  <c r="A300" i="1" a="1"/>
  <c r="A300" i="1" s="1"/>
  <c r="L299" i="1"/>
  <c r="A299" i="1" a="1"/>
  <c r="A299" i="1" s="1"/>
  <c r="L298" i="1"/>
  <c r="A298" i="1" a="1"/>
  <c r="A298" i="1" s="1"/>
  <c r="L297" i="1"/>
  <c r="A297" i="1" a="1"/>
  <c r="A297" i="1" s="1"/>
  <c r="L296" i="1"/>
  <c r="A296" i="1" a="1"/>
  <c r="A296" i="1" s="1"/>
  <c r="L295" i="1"/>
  <c r="A295" i="1" a="1"/>
  <c r="A295" i="1" s="1"/>
  <c r="A294" i="1" a="1"/>
  <c r="A294" i="1" s="1"/>
  <c r="L293" i="1"/>
  <c r="A293" i="1" a="1"/>
  <c r="A293" i="1" s="1"/>
  <c r="L292" i="1"/>
  <c r="A292" i="1" a="1"/>
  <c r="A292" i="1" s="1"/>
  <c r="A291" i="1" a="1"/>
  <c r="A291" i="1" s="1"/>
  <c r="L290" i="1"/>
  <c r="A290" i="1" a="1"/>
  <c r="A290" i="1" s="1"/>
  <c r="L289" i="1"/>
  <c r="A289" i="1" a="1"/>
  <c r="A289" i="1" s="1"/>
  <c r="L288" i="1"/>
  <c r="A288" i="1" a="1"/>
  <c r="A288" i="1" s="1"/>
  <c r="A287" i="1" a="1"/>
  <c r="A287" i="1" s="1"/>
  <c r="A286" i="1" a="1"/>
  <c r="A286" i="1" s="1"/>
  <c r="L285" i="1"/>
  <c r="A285" i="1" a="1"/>
  <c r="A285" i="1" s="1"/>
  <c r="L284" i="1"/>
  <c r="A284" i="1" a="1"/>
  <c r="A284" i="1" s="1"/>
  <c r="L283" i="1"/>
  <c r="A283" i="1" a="1"/>
  <c r="A283" i="1" s="1"/>
  <c r="L282" i="1"/>
  <c r="A282" i="1" a="1"/>
  <c r="A282" i="1" s="1"/>
  <c r="L281" i="1"/>
  <c r="A281" i="1" a="1"/>
  <c r="A281" i="1" s="1"/>
  <c r="L280" i="1"/>
  <c r="A280" i="1" a="1"/>
  <c r="A280" i="1" s="1"/>
  <c r="L279" i="1"/>
  <c r="A279" i="1" a="1"/>
  <c r="A279" i="1" s="1"/>
  <c r="A278" i="1" a="1"/>
  <c r="A278" i="1" s="1"/>
  <c r="L277" i="1"/>
  <c r="A277" i="1" a="1"/>
  <c r="A277" i="1" s="1"/>
  <c r="L276" i="1"/>
  <c r="A276" i="1" a="1"/>
  <c r="A276" i="1" s="1"/>
  <c r="A275" i="1" a="1"/>
  <c r="A275" i="1" s="1"/>
  <c r="L274" i="1"/>
  <c r="A274" i="1" a="1"/>
  <c r="A274" i="1" s="1"/>
  <c r="L273" i="1"/>
  <c r="A273" i="1" a="1"/>
  <c r="A273" i="1" s="1"/>
  <c r="L272" i="1"/>
  <c r="A272" i="1" a="1"/>
  <c r="A272" i="1" s="1"/>
  <c r="A271" i="1" a="1"/>
  <c r="A271" i="1" s="1"/>
  <c r="A270" i="1" a="1"/>
  <c r="A270" i="1" s="1"/>
  <c r="L269" i="1"/>
  <c r="A269" i="1" a="1"/>
  <c r="A269" i="1" s="1"/>
  <c r="L268" i="1"/>
  <c r="A268" i="1" a="1"/>
  <c r="A268" i="1" s="1"/>
  <c r="L267" i="1"/>
  <c r="A267" i="1" a="1"/>
  <c r="A267" i="1" s="1"/>
  <c r="L266" i="1"/>
  <c r="A266" i="1" a="1"/>
  <c r="A266" i="1" s="1"/>
  <c r="L265" i="1"/>
  <c r="A265" i="1" a="1"/>
  <c r="A265" i="1" s="1"/>
  <c r="L264" i="1"/>
  <c r="A264" i="1" a="1"/>
  <c r="A264" i="1" s="1"/>
  <c r="L263" i="1"/>
  <c r="A263" i="1" a="1"/>
  <c r="A263" i="1" s="1"/>
  <c r="A262" i="1" a="1"/>
  <c r="A262" i="1" s="1"/>
  <c r="L261" i="1"/>
  <c r="A261" i="1" a="1"/>
  <c r="A261" i="1" s="1"/>
  <c r="L260" i="1"/>
  <c r="A260" i="1" a="1"/>
  <c r="A260" i="1" s="1"/>
  <c r="L259" i="1"/>
  <c r="A259" i="1" a="1"/>
  <c r="A259" i="1" s="1"/>
  <c r="A258" i="1" a="1"/>
  <c r="A258" i="1" s="1"/>
  <c r="L257" i="1"/>
  <c r="A257" i="1" a="1"/>
  <c r="A257" i="1" s="1"/>
  <c r="L256" i="1"/>
  <c r="A256" i="1" a="1"/>
  <c r="A256" i="1" s="1"/>
  <c r="A255" i="1" a="1"/>
  <c r="A255" i="1" s="1"/>
  <c r="L254" i="1"/>
  <c r="A254" i="1" a="1"/>
  <c r="A254" i="1" s="1"/>
  <c r="L253" i="1"/>
  <c r="A253" i="1" a="1"/>
  <c r="A253" i="1" s="1"/>
  <c r="L252" i="1"/>
  <c r="A252" i="1" a="1"/>
  <c r="A252" i="1" s="1"/>
  <c r="A251" i="1" a="1"/>
  <c r="A251" i="1" s="1"/>
  <c r="L250" i="1"/>
  <c r="A250" i="1" a="1"/>
  <c r="A250" i="1" s="1"/>
  <c r="L249" i="1"/>
  <c r="A249" i="1" a="1"/>
  <c r="A249" i="1" s="1"/>
  <c r="L248" i="1"/>
  <c r="A248" i="1" a="1"/>
  <c r="A248" i="1" s="1"/>
  <c r="A247" i="1" a="1"/>
  <c r="A247" i="1" s="1"/>
  <c r="L246" i="1"/>
  <c r="A246" i="1" a="1"/>
  <c r="A246" i="1" s="1"/>
  <c r="L245" i="1"/>
  <c r="A245" i="1" a="1"/>
  <c r="A245" i="1" s="1"/>
  <c r="L244" i="1"/>
  <c r="A244" i="1" a="1"/>
  <c r="A244" i="1" s="1"/>
  <c r="A243" i="1" a="1"/>
  <c r="A243" i="1" s="1"/>
  <c r="L242" i="1"/>
  <c r="A242" i="1" a="1"/>
  <c r="A242" i="1" s="1"/>
  <c r="L241" i="1"/>
  <c r="A241" i="1" a="1"/>
  <c r="A241" i="1" s="1"/>
  <c r="L240" i="1"/>
  <c r="A240" i="1" a="1"/>
  <c r="A240" i="1" s="1"/>
  <c r="A239" i="1" a="1"/>
  <c r="A239" i="1" s="1"/>
  <c r="L238" i="1"/>
  <c r="A238" i="1" a="1"/>
  <c r="A238" i="1" s="1"/>
  <c r="L237" i="1"/>
  <c r="A237" i="1" a="1"/>
  <c r="A237" i="1" s="1"/>
  <c r="L236" i="1"/>
  <c r="A236" i="1" a="1"/>
  <c r="A236" i="1" s="1"/>
  <c r="L235" i="1"/>
  <c r="A235" i="1" a="1"/>
  <c r="A235" i="1" s="1"/>
  <c r="L234" i="1"/>
  <c r="A234" i="1" a="1"/>
  <c r="A234" i="1" s="1"/>
  <c r="L233" i="1"/>
  <c r="A233" i="1" a="1"/>
  <c r="A233" i="1" s="1"/>
  <c r="L232" i="1"/>
  <c r="A232" i="1" a="1"/>
  <c r="A232" i="1" s="1"/>
  <c r="L231" i="1"/>
  <c r="A231" i="1" a="1"/>
  <c r="A231" i="1" s="1"/>
  <c r="L230" i="1"/>
  <c r="A230" i="1" a="1"/>
  <c r="A230" i="1" s="1"/>
  <c r="L229" i="1"/>
  <c r="A229" i="1" a="1"/>
  <c r="A229" i="1" s="1"/>
  <c r="L228" i="1"/>
  <c r="A228" i="1" a="1"/>
  <c r="A228" i="1" s="1"/>
  <c r="L227" i="1"/>
  <c r="A227" i="1" a="1"/>
  <c r="A227" i="1" s="1"/>
  <c r="L226" i="1"/>
  <c r="A226" i="1" a="1"/>
  <c r="A226" i="1" s="1"/>
  <c r="L225" i="1"/>
  <c r="A225" i="1" a="1"/>
  <c r="A225" i="1" s="1"/>
  <c r="L224" i="1"/>
  <c r="A224" i="1" a="1"/>
  <c r="A224" i="1" s="1"/>
  <c r="L223" i="1"/>
  <c r="A223" i="1" a="1"/>
  <c r="A223" i="1" s="1"/>
  <c r="L222" i="1"/>
  <c r="A222" i="1" a="1"/>
  <c r="A222" i="1" s="1"/>
  <c r="L221" i="1"/>
  <c r="A221" i="1" a="1"/>
  <c r="A221" i="1" s="1"/>
  <c r="L220" i="1"/>
  <c r="A220" i="1" a="1"/>
  <c r="A220" i="1" s="1"/>
  <c r="L219" i="1"/>
  <c r="A219" i="1" a="1"/>
  <c r="A219" i="1" s="1"/>
  <c r="L218" i="1"/>
  <c r="A218" i="1" a="1"/>
  <c r="A218" i="1" s="1"/>
  <c r="L217" i="1"/>
  <c r="A217" i="1" a="1"/>
  <c r="A217" i="1" s="1"/>
  <c r="L216" i="1"/>
  <c r="A216" i="1" a="1"/>
  <c r="A216" i="1" s="1"/>
  <c r="L215" i="1"/>
  <c r="A215" i="1" a="1"/>
  <c r="A215" i="1" s="1"/>
  <c r="L214" i="1"/>
  <c r="A214" i="1" a="1"/>
  <c r="A214" i="1" s="1"/>
  <c r="L213" i="1"/>
  <c r="A213" i="1" a="1"/>
  <c r="A213" i="1" s="1"/>
  <c r="L212" i="1"/>
  <c r="A212" i="1" a="1"/>
  <c r="A212" i="1" s="1"/>
  <c r="L211" i="1"/>
  <c r="A211" i="1" a="1"/>
  <c r="A211" i="1" s="1"/>
  <c r="L210" i="1"/>
  <c r="A210" i="1" a="1"/>
  <c r="A210" i="1" s="1"/>
  <c r="L209" i="1"/>
  <c r="A209" i="1" a="1"/>
  <c r="A209" i="1" s="1"/>
  <c r="L208" i="1"/>
  <c r="A208" i="1" a="1"/>
  <c r="A208" i="1" s="1"/>
  <c r="L207" i="1"/>
  <c r="A207" i="1" a="1"/>
  <c r="A207" i="1" s="1"/>
  <c r="L206" i="1"/>
  <c r="A206" i="1" a="1"/>
  <c r="A206" i="1" s="1"/>
  <c r="L205" i="1"/>
  <c r="A205" i="1" a="1"/>
  <c r="A205" i="1" s="1"/>
  <c r="L204" i="1"/>
  <c r="A204" i="1" a="1"/>
  <c r="A204" i="1" s="1"/>
  <c r="L203" i="1"/>
  <c r="A203" i="1" a="1"/>
  <c r="A203" i="1" s="1"/>
  <c r="L202" i="1"/>
  <c r="A202" i="1" a="1"/>
  <c r="A202" i="1" s="1"/>
  <c r="L201" i="1"/>
  <c r="A201" i="1" a="1"/>
  <c r="A201" i="1" s="1"/>
  <c r="L200" i="1"/>
  <c r="A200" i="1" a="1"/>
  <c r="A200" i="1" s="1"/>
  <c r="L199" i="1"/>
  <c r="A199" i="1" a="1"/>
  <c r="A199" i="1" s="1"/>
  <c r="L198" i="1"/>
  <c r="A198" i="1" a="1"/>
  <c r="A198" i="1" s="1"/>
  <c r="L197" i="1"/>
  <c r="A197" i="1" a="1"/>
  <c r="A197" i="1" s="1"/>
  <c r="L196" i="1"/>
  <c r="A196" i="1" a="1"/>
  <c r="A196" i="1" s="1"/>
  <c r="L195" i="1"/>
  <c r="A195" i="1" a="1"/>
  <c r="A195" i="1" s="1"/>
  <c r="L194" i="1"/>
  <c r="A194" i="1" a="1"/>
  <c r="A194" i="1" s="1"/>
  <c r="L193" i="1"/>
  <c r="A193" i="1" a="1"/>
  <c r="A193" i="1" s="1"/>
  <c r="L192" i="1"/>
  <c r="A192" i="1" a="1"/>
  <c r="A192" i="1" s="1"/>
  <c r="L191" i="1"/>
  <c r="A191" i="1" a="1"/>
  <c r="A191" i="1" s="1"/>
  <c r="L190" i="1"/>
  <c r="A190" i="1" a="1"/>
  <c r="A190" i="1" s="1"/>
  <c r="L189" i="1"/>
  <c r="A189" i="1" a="1"/>
  <c r="A189" i="1" s="1"/>
  <c r="L188" i="1"/>
  <c r="A188" i="1" a="1"/>
  <c r="A188" i="1" s="1"/>
  <c r="L187" i="1"/>
  <c r="A187" i="1" a="1"/>
  <c r="A187" i="1" s="1"/>
  <c r="L186" i="1"/>
  <c r="A186" i="1" a="1"/>
  <c r="A186" i="1" s="1"/>
  <c r="L185" i="1"/>
  <c r="A185" i="1" a="1"/>
  <c r="A185" i="1" s="1"/>
  <c r="L184" i="1"/>
  <c r="A184" i="1" a="1"/>
  <c r="A184" i="1" s="1"/>
  <c r="L183" i="1"/>
  <c r="A183" i="1" a="1"/>
  <c r="A183" i="1" s="1"/>
  <c r="L182" i="1"/>
  <c r="A182" i="1" a="1"/>
  <c r="A182" i="1" s="1"/>
  <c r="L181" i="1"/>
  <c r="A181" i="1" a="1"/>
  <c r="A181" i="1" s="1"/>
  <c r="L180" i="1"/>
  <c r="A180" i="1" a="1"/>
  <c r="A180" i="1" s="1"/>
  <c r="L179" i="1"/>
  <c r="A179" i="1" a="1"/>
  <c r="A179" i="1" s="1"/>
  <c r="L178" i="1"/>
  <c r="A178" i="1" a="1"/>
  <c r="A178" i="1" s="1"/>
  <c r="L177" i="1"/>
  <c r="A177" i="1" a="1"/>
  <c r="A177" i="1" s="1"/>
  <c r="L176" i="1"/>
  <c r="A176" i="1" a="1"/>
  <c r="A176" i="1" s="1"/>
  <c r="L175" i="1"/>
  <c r="A175" i="1" a="1"/>
  <c r="A175" i="1" s="1"/>
  <c r="L174" i="1"/>
  <c r="A174" i="1" a="1"/>
  <c r="A174" i="1" s="1"/>
  <c r="L173" i="1"/>
  <c r="A173" i="1" a="1"/>
  <c r="A173" i="1" s="1"/>
  <c r="L172" i="1"/>
  <c r="A172" i="1" a="1"/>
  <c r="A172" i="1" s="1"/>
  <c r="L171" i="1"/>
  <c r="A171" i="1" a="1"/>
  <c r="A171" i="1" s="1"/>
  <c r="L170" i="1"/>
  <c r="A170" i="1"/>
  <c r="A170" i="1" a="1"/>
  <c r="L169" i="1"/>
  <c r="A169" i="1" a="1"/>
  <c r="A169" i="1" s="1"/>
  <c r="L168" i="1"/>
  <c r="A168" i="1" a="1"/>
  <c r="A168" i="1" s="1"/>
  <c r="L167" i="1"/>
  <c r="A167" i="1" a="1"/>
  <c r="A167" i="1" s="1"/>
  <c r="L166" i="1"/>
  <c r="A166" i="1" a="1"/>
  <c r="A166" i="1" s="1"/>
  <c r="L165" i="1"/>
  <c r="A165" i="1" a="1"/>
  <c r="A165" i="1" s="1"/>
  <c r="L164" i="1"/>
  <c r="A164" i="1" a="1"/>
  <c r="A164" i="1" s="1"/>
  <c r="L163" i="1"/>
  <c r="A163" i="1" a="1"/>
  <c r="A163" i="1" s="1"/>
  <c r="L162" i="1"/>
  <c r="A162" i="1" a="1"/>
  <c r="A162" i="1" s="1"/>
  <c r="L161" i="1"/>
  <c r="A161" i="1" a="1"/>
  <c r="A161" i="1" s="1"/>
  <c r="L160" i="1"/>
  <c r="A160" i="1" a="1"/>
  <c r="A160" i="1" s="1"/>
  <c r="A159" i="1" a="1"/>
  <c r="A159" i="1" s="1"/>
  <c r="L158" i="1"/>
  <c r="A158" i="1" a="1"/>
  <c r="A158" i="1" s="1"/>
  <c r="L157" i="1"/>
  <c r="A157" i="1" a="1"/>
  <c r="A157" i="1" s="1"/>
  <c r="L156" i="1"/>
  <c r="A156" i="1" a="1"/>
  <c r="A156" i="1" s="1"/>
  <c r="L155" i="1"/>
  <c r="A155" i="1" a="1"/>
  <c r="A155" i="1" s="1"/>
  <c r="L154" i="1"/>
  <c r="A154" i="1" a="1"/>
  <c r="A154" i="1" s="1"/>
  <c r="A153" i="1" a="1"/>
  <c r="A153" i="1" s="1"/>
  <c r="L152" i="1"/>
  <c r="A152" i="1" a="1"/>
  <c r="A152" i="1" s="1"/>
  <c r="A151" i="1" a="1"/>
  <c r="A151" i="1" s="1"/>
  <c r="L150" i="1"/>
  <c r="A150" i="1" a="1"/>
  <c r="A150" i="1" s="1"/>
  <c r="L149" i="1"/>
  <c r="A149" i="1" a="1"/>
  <c r="A149" i="1" s="1"/>
  <c r="L148" i="1"/>
  <c r="A148" i="1" a="1"/>
  <c r="A148" i="1" s="1"/>
  <c r="L147" i="1"/>
  <c r="A147" i="1" a="1"/>
  <c r="A147" i="1" s="1"/>
  <c r="L146" i="1"/>
  <c r="A146" i="1" a="1"/>
  <c r="A146" i="1" s="1"/>
  <c r="L145" i="1"/>
  <c r="A145" i="1" a="1"/>
  <c r="A145" i="1" s="1"/>
  <c r="L144" i="1"/>
  <c r="A144" i="1" a="1"/>
  <c r="A144" i="1" s="1"/>
  <c r="L143" i="1"/>
  <c r="A143" i="1" a="1"/>
  <c r="A143" i="1" s="1"/>
  <c r="L142" i="1"/>
  <c r="A142" i="1" a="1"/>
  <c r="A142" i="1" s="1"/>
  <c r="L141" i="1"/>
  <c r="A141" i="1" a="1"/>
  <c r="A141" i="1" s="1"/>
  <c r="L140" i="1"/>
  <c r="A140" i="1" a="1"/>
  <c r="A140" i="1" s="1"/>
  <c r="L139" i="1"/>
  <c r="A139" i="1" a="1"/>
  <c r="A139" i="1" s="1"/>
  <c r="L138" i="1"/>
  <c r="A138" i="1" a="1"/>
  <c r="A138" i="1" s="1"/>
  <c r="L137" i="1"/>
  <c r="A137" i="1" a="1"/>
  <c r="A137" i="1" s="1"/>
  <c r="L136" i="1"/>
  <c r="A136" i="1" a="1"/>
  <c r="A136" i="1" s="1"/>
  <c r="L135" i="1"/>
  <c r="A135" i="1" a="1"/>
  <c r="A135" i="1" s="1"/>
  <c r="L134" i="1"/>
  <c r="A134" i="1" a="1"/>
  <c r="A134" i="1" s="1"/>
  <c r="L133" i="1"/>
  <c r="A133" i="1" a="1"/>
  <c r="A133" i="1" s="1"/>
  <c r="L132" i="1"/>
  <c r="A132" i="1" a="1"/>
  <c r="A132" i="1" s="1"/>
  <c r="L131" i="1"/>
  <c r="A131" i="1" a="1"/>
  <c r="A131" i="1" s="1"/>
  <c r="L130" i="1"/>
  <c r="A130" i="1" a="1"/>
  <c r="A130" i="1" s="1"/>
  <c r="L129" i="1"/>
  <c r="A129" i="1" a="1"/>
  <c r="A129" i="1" s="1"/>
  <c r="L128" i="1"/>
  <c r="A128" i="1" a="1"/>
  <c r="A128" i="1" s="1"/>
  <c r="L127" i="1"/>
  <c r="A127" i="1" a="1"/>
  <c r="A127" i="1" s="1"/>
  <c r="L126" i="1"/>
  <c r="A126" i="1" a="1"/>
  <c r="A126" i="1" s="1"/>
  <c r="L125" i="1"/>
  <c r="A125" i="1" a="1"/>
  <c r="A125" i="1" s="1"/>
  <c r="L124" i="1"/>
  <c r="A124" i="1" a="1"/>
  <c r="A124" i="1" s="1"/>
  <c r="L123" i="1"/>
  <c r="A123" i="1" a="1"/>
  <c r="A123" i="1" s="1"/>
  <c r="L122" i="1"/>
  <c r="A122" i="1" a="1"/>
  <c r="A122" i="1" s="1"/>
  <c r="L121" i="1"/>
  <c r="A121" i="1" a="1"/>
  <c r="A121" i="1" s="1"/>
  <c r="L120" i="1"/>
  <c r="A120" i="1" a="1"/>
  <c r="A120" i="1" s="1"/>
  <c r="L119" i="1"/>
  <c r="A119" i="1" a="1"/>
  <c r="A119" i="1" s="1"/>
  <c r="L118" i="1"/>
  <c r="A118" i="1" a="1"/>
  <c r="A118" i="1" s="1"/>
  <c r="L117" i="1"/>
  <c r="A117" i="1" a="1"/>
  <c r="A117" i="1" s="1"/>
  <c r="L116" i="1"/>
  <c r="A116" i="1" a="1"/>
  <c r="A116" i="1" s="1"/>
  <c r="L115" i="1"/>
  <c r="A115" i="1" a="1"/>
  <c r="A115" i="1" s="1"/>
  <c r="L114" i="1"/>
  <c r="A114" i="1" a="1"/>
  <c r="A114" i="1" s="1"/>
  <c r="L113" i="1"/>
  <c r="A113" i="1" a="1"/>
  <c r="A113" i="1" s="1"/>
  <c r="L112" i="1"/>
  <c r="A112" i="1" a="1"/>
  <c r="A112" i="1" s="1"/>
  <c r="L111" i="1"/>
  <c r="A111" i="1"/>
  <c r="A111" i="1" a="1"/>
  <c r="L110" i="1"/>
  <c r="A110" i="1" a="1"/>
  <c r="A110" i="1" s="1"/>
  <c r="L109" i="1"/>
  <c r="A109" i="1" a="1"/>
  <c r="A109" i="1" s="1"/>
  <c r="L108" i="1"/>
  <c r="A108" i="1" a="1"/>
  <c r="A108" i="1" s="1"/>
  <c r="L107" i="1"/>
  <c r="A107" i="1" a="1"/>
  <c r="A107" i="1" s="1"/>
  <c r="L106" i="1"/>
  <c r="A106" i="1" a="1"/>
  <c r="A106" i="1" s="1"/>
  <c r="L105" i="1"/>
  <c r="A105" i="1" a="1"/>
  <c r="A105" i="1" s="1"/>
  <c r="L104" i="1"/>
  <c r="A104" i="1" a="1"/>
  <c r="A104" i="1" s="1"/>
  <c r="L103" i="1"/>
  <c r="A103" i="1" a="1"/>
  <c r="A103" i="1" s="1"/>
  <c r="L102" i="1"/>
  <c r="A102" i="1" a="1"/>
  <c r="A102" i="1" s="1"/>
  <c r="L101" i="1"/>
  <c r="A101" i="1" a="1"/>
  <c r="A101" i="1" s="1"/>
  <c r="L100" i="1"/>
  <c r="A100" i="1" a="1"/>
  <c r="A100" i="1" s="1"/>
  <c r="L99" i="1"/>
  <c r="A99" i="1" a="1"/>
  <c r="A99" i="1" s="1"/>
  <c r="L98" i="1"/>
  <c r="A98" i="1" a="1"/>
  <c r="A98" i="1" s="1"/>
  <c r="L97" i="1"/>
  <c r="A97" i="1" a="1"/>
  <c r="A97" i="1" s="1"/>
  <c r="L96" i="1"/>
  <c r="A96" i="1" a="1"/>
  <c r="A96" i="1" s="1"/>
  <c r="L95" i="1"/>
  <c r="A95" i="1" a="1"/>
  <c r="A95" i="1" s="1"/>
  <c r="L94" i="1"/>
  <c r="A94" i="1" a="1"/>
  <c r="A94" i="1" s="1"/>
  <c r="L93" i="1"/>
  <c r="A93" i="1" a="1"/>
  <c r="A93" i="1" s="1"/>
  <c r="L92" i="1"/>
  <c r="A92" i="1" a="1"/>
  <c r="A92" i="1" s="1"/>
  <c r="L91" i="1"/>
  <c r="A91" i="1" a="1"/>
  <c r="A91" i="1" s="1"/>
  <c r="L90" i="1"/>
  <c r="A90" i="1" a="1"/>
  <c r="A90" i="1" s="1"/>
  <c r="L89" i="1"/>
  <c r="A89" i="1" a="1"/>
  <c r="A89" i="1" s="1"/>
  <c r="L88" i="1"/>
  <c r="A88" i="1" a="1"/>
  <c r="A88" i="1" s="1"/>
  <c r="L87" i="1"/>
  <c r="A87" i="1" a="1"/>
  <c r="A87" i="1" s="1"/>
  <c r="L86" i="1"/>
  <c r="A86" i="1" a="1"/>
  <c r="A86" i="1" s="1"/>
  <c r="L85" i="1"/>
  <c r="A85" i="1" a="1"/>
  <c r="A85" i="1" s="1"/>
  <c r="L84" i="1"/>
  <c r="A84" i="1" a="1"/>
  <c r="A84" i="1" s="1"/>
  <c r="L83" i="1"/>
  <c r="A83" i="1" a="1"/>
  <c r="A83" i="1" s="1"/>
  <c r="L82" i="1"/>
  <c r="A82" i="1" a="1"/>
  <c r="A82" i="1" s="1"/>
  <c r="L81" i="1"/>
  <c r="A81" i="1" a="1"/>
  <c r="A81" i="1" s="1"/>
  <c r="L80" i="1"/>
  <c r="A80" i="1" a="1"/>
  <c r="A80" i="1" s="1"/>
  <c r="L79" i="1"/>
  <c r="A79" i="1" a="1"/>
  <c r="A79" i="1" s="1"/>
  <c r="L78" i="1"/>
  <c r="A78" i="1" a="1"/>
  <c r="A78" i="1" s="1"/>
  <c r="L77" i="1"/>
  <c r="A77" i="1" a="1"/>
  <c r="A77" i="1" s="1"/>
  <c r="L76" i="1"/>
  <c r="A76" i="1" a="1"/>
  <c r="A76" i="1" s="1"/>
  <c r="L75" i="1"/>
  <c r="A75" i="1" a="1"/>
  <c r="A75" i="1" s="1"/>
  <c r="L74" i="1"/>
  <c r="A74" i="1" a="1"/>
  <c r="A74" i="1" s="1"/>
  <c r="L73" i="1"/>
  <c r="A73" i="1" a="1"/>
  <c r="A73" i="1" s="1"/>
  <c r="L72" i="1"/>
  <c r="A72" i="1" a="1"/>
  <c r="A72" i="1" s="1"/>
  <c r="L71" i="1"/>
  <c r="A71" i="1" a="1"/>
  <c r="A71" i="1" s="1"/>
  <c r="L70" i="1"/>
  <c r="A70" i="1" a="1"/>
  <c r="A70" i="1" s="1"/>
  <c r="L69" i="1"/>
  <c r="A69" i="1" a="1"/>
  <c r="A69" i="1" s="1"/>
  <c r="L68" i="1"/>
  <c r="A68" i="1" a="1"/>
  <c r="A68" i="1" s="1"/>
  <c r="L67" i="1"/>
  <c r="A67" i="1" a="1"/>
  <c r="A67" i="1" s="1"/>
  <c r="L66" i="1"/>
  <c r="A66" i="1" a="1"/>
  <c r="A66" i="1" s="1"/>
  <c r="L65" i="1"/>
  <c r="A65" i="1" a="1"/>
  <c r="A65" i="1" s="1"/>
  <c r="L64" i="1"/>
  <c r="A64" i="1" a="1"/>
  <c r="A64" i="1" s="1"/>
  <c r="L63" i="1"/>
  <c r="A63" i="1" a="1"/>
  <c r="A63" i="1" s="1"/>
  <c r="L62" i="1"/>
  <c r="A62" i="1" a="1"/>
  <c r="A62" i="1" s="1"/>
  <c r="L61" i="1"/>
  <c r="A61" i="1" a="1"/>
  <c r="A61" i="1" s="1"/>
  <c r="L60" i="1"/>
  <c r="A60" i="1" a="1"/>
  <c r="A60" i="1" s="1"/>
  <c r="L59" i="1"/>
  <c r="A59" i="1" a="1"/>
  <c r="A59" i="1" s="1"/>
  <c r="L58" i="1"/>
  <c r="A58" i="1" a="1"/>
  <c r="A58" i="1" s="1"/>
  <c r="L57" i="1"/>
  <c r="A57" i="1" a="1"/>
  <c r="A57" i="1" s="1"/>
  <c r="L56" i="1"/>
  <c r="A56" i="1" a="1"/>
  <c r="A56" i="1" s="1"/>
  <c r="L55" i="1"/>
  <c r="A55" i="1" a="1"/>
  <c r="A55" i="1" s="1"/>
  <c r="L54" i="1"/>
  <c r="A54" i="1" a="1"/>
  <c r="A54" i="1" s="1"/>
  <c r="L53" i="1"/>
  <c r="A53" i="1" a="1"/>
  <c r="A53" i="1" s="1"/>
  <c r="L52" i="1"/>
  <c r="A52" i="1" a="1"/>
  <c r="A52" i="1" s="1"/>
  <c r="L51" i="1"/>
  <c r="A51" i="1" a="1"/>
  <c r="A51" i="1" s="1"/>
  <c r="L50" i="1"/>
  <c r="A50" i="1" a="1"/>
  <c r="A50" i="1" s="1"/>
  <c r="L49" i="1"/>
  <c r="A49" i="1" a="1"/>
  <c r="A49" i="1" s="1"/>
  <c r="L48" i="1"/>
  <c r="A48" i="1" a="1"/>
  <c r="A48" i="1" s="1"/>
  <c r="L47" i="1"/>
  <c r="A47" i="1" a="1"/>
  <c r="A47" i="1" s="1"/>
  <c r="L46" i="1"/>
  <c r="A46" i="1" a="1"/>
  <c r="A46" i="1" s="1"/>
  <c r="L45" i="1"/>
  <c r="A45" i="1" a="1"/>
  <c r="A45" i="1" s="1"/>
  <c r="L44" i="1"/>
  <c r="A44" i="1" a="1"/>
  <c r="A44" i="1" s="1"/>
  <c r="L43" i="1"/>
  <c r="A43" i="1" a="1"/>
  <c r="A43" i="1" s="1"/>
  <c r="L42" i="1"/>
  <c r="A42" i="1" a="1"/>
  <c r="A42" i="1" s="1"/>
  <c r="L41" i="1"/>
  <c r="A41" i="1" a="1"/>
  <c r="A41" i="1" s="1"/>
  <c r="L40" i="1"/>
  <c r="A40" i="1" a="1"/>
  <c r="A40" i="1" s="1"/>
  <c r="L39" i="1"/>
  <c r="A39" i="1" a="1"/>
  <c r="A39" i="1" s="1"/>
  <c r="L38" i="1"/>
  <c r="A38" i="1" a="1"/>
  <c r="A38" i="1" s="1"/>
  <c r="L37" i="1"/>
  <c r="A37" i="1" a="1"/>
  <c r="A37" i="1" s="1"/>
  <c r="L36" i="1"/>
  <c r="A36" i="1" a="1"/>
  <c r="A36" i="1" s="1"/>
  <c r="L35" i="1"/>
  <c r="A35" i="1" a="1"/>
  <c r="A35" i="1" s="1"/>
  <c r="L34" i="1"/>
  <c r="A34" i="1" a="1"/>
  <c r="A34" i="1" s="1"/>
  <c r="L33" i="1"/>
  <c r="A33" i="1" a="1"/>
  <c r="A33" i="1" s="1"/>
  <c r="L32" i="1"/>
  <c r="A32" i="1" a="1"/>
  <c r="A32" i="1" s="1"/>
  <c r="L31" i="1"/>
  <c r="A31" i="1" a="1"/>
  <c r="A31" i="1" s="1"/>
  <c r="L30" i="1"/>
  <c r="A30" i="1" a="1"/>
  <c r="A30" i="1" s="1"/>
  <c r="L29" i="1"/>
  <c r="A29" i="1" a="1"/>
  <c r="A29" i="1" s="1"/>
  <c r="L28" i="1"/>
  <c r="A28" i="1" a="1"/>
  <c r="A28" i="1" s="1"/>
  <c r="L27" i="1"/>
  <c r="A27" i="1" a="1"/>
  <c r="A27" i="1" s="1"/>
  <c r="L26" i="1"/>
  <c r="A26" i="1" a="1"/>
  <c r="A26" i="1" s="1"/>
  <c r="L25" i="1"/>
  <c r="A25" i="1" a="1"/>
  <c r="A25" i="1" s="1"/>
  <c r="L24" i="1"/>
  <c r="A24" i="1" a="1"/>
  <c r="A24" i="1" s="1"/>
  <c r="L23" i="1"/>
  <c r="A23" i="1" a="1"/>
  <c r="A23" i="1" s="1"/>
  <c r="L22" i="1"/>
  <c r="A22" i="1" a="1"/>
  <c r="A22" i="1" s="1"/>
  <c r="L21" i="1"/>
  <c r="A21" i="1" a="1"/>
  <c r="A21" i="1" s="1"/>
  <c r="L20" i="1"/>
  <c r="A20" i="1" a="1"/>
  <c r="A20" i="1" s="1"/>
  <c r="L19" i="1"/>
  <c r="A19" i="1" a="1"/>
  <c r="A19" i="1" s="1"/>
  <c r="L18" i="1"/>
  <c r="A18" i="1" a="1"/>
  <c r="A18" i="1" s="1"/>
  <c r="L17" i="1"/>
  <c r="A17" i="1" a="1"/>
  <c r="A17" i="1" s="1"/>
  <c r="L16" i="1"/>
  <c r="A16" i="1" a="1"/>
  <c r="A16" i="1" s="1"/>
  <c r="L15" i="1"/>
  <c r="A15" i="1" a="1"/>
  <c r="A15" i="1" s="1"/>
  <c r="L14" i="1"/>
  <c r="A14" i="1" a="1"/>
  <c r="A14" i="1" s="1"/>
  <c r="L13" i="1"/>
  <c r="A13" i="1" a="1"/>
  <c r="A13" i="1" s="1"/>
  <c r="L12" i="1"/>
  <c r="A12" i="1" a="1"/>
  <c r="A12" i="1" s="1"/>
  <c r="L11" i="1"/>
  <c r="A11" i="1" a="1"/>
  <c r="A11" i="1" s="1"/>
  <c r="L10" i="1"/>
  <c r="A10" i="1" a="1"/>
  <c r="A10" i="1" s="1"/>
  <c r="L9" i="1"/>
  <c r="A9" i="1" a="1"/>
  <c r="A9" i="1" s="1"/>
  <c r="L8" i="1"/>
  <c r="A8" i="1" a="1"/>
  <c r="A8" i="1" s="1"/>
  <c r="L7" i="1"/>
  <c r="A7" i="1" a="1"/>
  <c r="A7" i="1" s="1"/>
  <c r="L6" i="1"/>
  <c r="A6" i="1" a="1"/>
  <c r="A6" i="1" s="1"/>
  <c r="L153" i="1" l="1"/>
  <c r="L151" i="1"/>
  <c r="L159" i="1"/>
  <c r="L239" i="1"/>
  <c r="L247" i="1"/>
  <c r="L255" i="1"/>
  <c r="L258" i="1"/>
  <c r="L262" i="1"/>
  <c r="L278" i="1"/>
  <c r="L294" i="1"/>
  <c r="L310" i="1"/>
  <c r="L243" i="1"/>
  <c r="L251" i="1"/>
  <c r="L270" i="1"/>
  <c r="L271" i="1"/>
  <c r="L286" i="1"/>
  <c r="L287" i="1"/>
  <c r="L302" i="1"/>
  <c r="L303" i="1"/>
  <c r="L275" i="1"/>
  <c r="L291" i="1"/>
  <c r="L307" i="1"/>
  <c r="L390" i="1"/>
  <c r="L406" i="1"/>
  <c r="L334" i="1"/>
  <c r="L337" i="1"/>
  <c r="L342" i="1"/>
  <c r="L386" i="1"/>
  <c r="L402" i="1"/>
  <c r="L435" i="1"/>
  <c r="L423" i="1"/>
  <c r="L439" i="1"/>
  <c r="L455" i="1"/>
  <c r="L459" i="1"/>
  <c r="L463" i="1"/>
  <c r="L467" i="1"/>
  <c r="L471" i="1"/>
  <c r="L475" i="1"/>
  <c r="L479" i="1"/>
  <c r="L483" i="1"/>
  <c r="L487" i="1"/>
  <c r="L491" i="1"/>
  <c r="L495" i="1"/>
  <c r="L499" i="1"/>
  <c r="L503" i="1"/>
  <c r="L507" i="1"/>
  <c r="L511" i="1"/>
  <c r="L515" i="1"/>
  <c r="L5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<sst xmlns="http://schemas.openxmlformats.org/spreadsheetml/2006/main" count="2544" uniqueCount="979">
  <si>
    <t>No.</t>
  </si>
  <si>
    <t>Kategori Barang</t>
  </si>
  <si>
    <t>Part Number</t>
  </si>
  <si>
    <t>Nama Barang</t>
  </si>
  <si>
    <t>Jenis Barang</t>
  </si>
  <si>
    <t>Satuan</t>
  </si>
  <si>
    <t>Harga Satuan</t>
  </si>
  <si>
    <t>Stock Awal</t>
  </si>
  <si>
    <t>Stock Masuk</t>
  </si>
  <si>
    <t>Stock Keluar</t>
  </si>
  <si>
    <t>Stock Akhir</t>
  </si>
  <si>
    <t>Total Persediaan</t>
  </si>
  <si>
    <t>FABRIKASI</t>
  </si>
  <si>
    <t>17-AA240</t>
  </si>
  <si>
    <t>Amplas Kain 240</t>
  </si>
  <si>
    <t>INV</t>
  </si>
  <si>
    <t>Cm</t>
  </si>
  <si>
    <t>17-AA241</t>
  </si>
  <si>
    <t>Acrylic Bening 5mm ( 14cm x 17cm )</t>
  </si>
  <si>
    <t>Pcs</t>
  </si>
  <si>
    <t>17-BB-001</t>
  </si>
  <si>
    <t>Besi Behel 10mm 80cm</t>
  </si>
  <si>
    <t>17-BB-002</t>
  </si>
  <si>
    <t>Besi Behel 6 mm 140 mm</t>
  </si>
  <si>
    <t>17-BH-001</t>
  </si>
  <si>
    <t>Hollo 40x40 65 cm</t>
  </si>
  <si>
    <t>Set</t>
  </si>
  <si>
    <t>Hollo 50x25x 6m</t>
  </si>
  <si>
    <t>17-BH-002</t>
  </si>
  <si>
    <t>Besi Pipa 1/2 Inc</t>
  </si>
  <si>
    <t>Mtr</t>
  </si>
  <si>
    <t>17-BP-001</t>
  </si>
  <si>
    <t>Besi Plat 2 mm ( 150x100 mm )</t>
  </si>
  <si>
    <t>17-BP-002</t>
  </si>
  <si>
    <t>Besi Plat 2 mm 40 x 460 mm</t>
  </si>
  <si>
    <t>17-BP-003</t>
  </si>
  <si>
    <t>Besi Plat 2 mm 520 x 140 mm</t>
  </si>
  <si>
    <t>17-BP-004</t>
  </si>
  <si>
    <t>Besi Plat 2 mm x 200 x 250 mm</t>
  </si>
  <si>
    <t>17-BP-005</t>
  </si>
  <si>
    <t>Besi Plat 3 mm ( 40 x 400 x 40mm )</t>
  </si>
  <si>
    <t>17-BP-006</t>
  </si>
  <si>
    <t>Besi Plat 3 mm 500 x 40 mm</t>
  </si>
  <si>
    <t>17-BP-007</t>
  </si>
  <si>
    <t>Besi Plat 5 mm 550 x 70 mm</t>
  </si>
  <si>
    <t>17-BP-008</t>
  </si>
  <si>
    <t>Besi Plate 1,5 mm ( 200x180mm )</t>
  </si>
  <si>
    <t>17-BP-009</t>
  </si>
  <si>
    <t>Besi Plate 10mm ( 120cm x 5 cm )</t>
  </si>
  <si>
    <t>17-BP-010</t>
  </si>
  <si>
    <t>Besi Plate 20mm ( 120cm x 5cm )</t>
  </si>
  <si>
    <t>17-BP-011</t>
  </si>
  <si>
    <t>Besi Plate 2mm Puzzle Extention kaki SCANIA</t>
  </si>
  <si>
    <t>17-BP-012</t>
  </si>
  <si>
    <t>Besi Plate 2mm Rollan Diamater 17 cm</t>
  </si>
  <si>
    <t>17-BP-013</t>
  </si>
  <si>
    <t>Besi Plate 2mm Rollan Diamater 20 cm</t>
  </si>
  <si>
    <t>17-BP-014</t>
  </si>
  <si>
    <t>Besi Plate 3 mm 130x140mm</t>
  </si>
  <si>
    <t>17-BP-015</t>
  </si>
  <si>
    <t>Besi Plate 3 mm Laser Shearing ( 200x200 cm )</t>
  </si>
  <si>
    <t>17-BP-016</t>
  </si>
  <si>
    <t>Besi Plate 3mm ( 200 x 150 mm )</t>
  </si>
  <si>
    <t>17-BP-017</t>
  </si>
  <si>
    <t>Besi Plate 3mm ( 200 x 200 )</t>
  </si>
  <si>
    <t>17-BP-018</t>
  </si>
  <si>
    <t>Besi Plate 3mm Bending U ( 110 x 110 x 60 )</t>
  </si>
  <si>
    <t>17-BP-019</t>
  </si>
  <si>
    <t>Besi Plate 5 mm</t>
  </si>
  <si>
    <t>17-BP-020</t>
  </si>
  <si>
    <t>Besi Plate 5 mm Puzzle ( Extention In )</t>
  </si>
  <si>
    <t>17-BP-021</t>
  </si>
  <si>
    <t>Besi Plate 5 mm Puzzle ( Extention Out )</t>
  </si>
  <si>
    <t>17-BP-022</t>
  </si>
  <si>
    <t>Besi Plate 5mm ( 100 x 300 mm )</t>
  </si>
  <si>
    <t>17-BP-023</t>
  </si>
  <si>
    <t>Besi Plate 5mm ( 220 x 220 x 100 mm )</t>
  </si>
  <si>
    <t>17-BP-024</t>
  </si>
  <si>
    <t>Besi Plate 5mm ( 300 x 600 )</t>
  </si>
  <si>
    <t>17-BP-025</t>
  </si>
  <si>
    <t>Besi Plate 5mm ( 50 x 300 cm )</t>
  </si>
  <si>
    <t>17-BP-026</t>
  </si>
  <si>
    <t>Besi Plate 5mm 100 x 120 mm</t>
  </si>
  <si>
    <t>17-BP-027</t>
  </si>
  <si>
    <t>Besi Plate 5mm 50x300mm  ( Baseplate )</t>
  </si>
  <si>
    <t>17-BP-028</t>
  </si>
  <si>
    <t>Besi Plate 5mm 50x300x50mm  ( Baseplate )</t>
  </si>
  <si>
    <t>17-BP-029</t>
  </si>
  <si>
    <t>Besi Plate 5mm Bending L ( 200 x 420mm )</t>
  </si>
  <si>
    <t>17-BP-030</t>
  </si>
  <si>
    <t>Besi Plate 5mm L ( 200 x 500 )</t>
  </si>
  <si>
    <t>17-BP-031</t>
  </si>
  <si>
    <t>Besi Plate 5mm L 40x100mm  ( Baseplate )</t>
  </si>
  <si>
    <t>17-BP-032</t>
  </si>
  <si>
    <t>Besi Plate 6mm Bending U ( 400x225x70 mm )</t>
  </si>
  <si>
    <t>17-BP-033</t>
  </si>
  <si>
    <t>Besi Plate Strip 5mm ( 100 x 300 )</t>
  </si>
  <si>
    <t>17-BP-034</t>
  </si>
  <si>
    <t>Plate 20 mm ( 60cm x 60 cm )</t>
  </si>
  <si>
    <t>Besi Pipa Hitam 1/2 inchi SCH40</t>
  </si>
  <si>
    <t>17-BP-035</t>
  </si>
  <si>
    <t>Besi Pipa Hitam 3/4 inchi SCH40</t>
  </si>
  <si>
    <t>17-BP-036</t>
  </si>
  <si>
    <t>Besi Pipa 1 inc SCH40</t>
  </si>
  <si>
    <t>17-BS-001</t>
  </si>
  <si>
    <t>Siku 40x40 25 cm</t>
  </si>
  <si>
    <t>17-BS-002</t>
  </si>
  <si>
    <t>Besi Siku 5mm ( 10x3cm )</t>
  </si>
  <si>
    <t>17-GR-001</t>
  </si>
  <si>
    <t>Gromet Rubber Bulat</t>
  </si>
  <si>
    <t>17-GR-002</t>
  </si>
  <si>
    <t>Gromet Rubber Kerucut</t>
  </si>
  <si>
    <t>17-PR-001</t>
  </si>
  <si>
    <t>Baud M10x15 8.8 Pleting</t>
  </si>
  <si>
    <t>Baud M10x20 8.8 Pleting</t>
  </si>
  <si>
    <t>17-PR-002</t>
  </si>
  <si>
    <t>Baud M10x30 8.8 Pleting</t>
  </si>
  <si>
    <t>Baud M10x40 8.8 Pleting</t>
  </si>
  <si>
    <t>Baud M10x50 8.8 Pleting</t>
  </si>
  <si>
    <t>Baud M10x70 8.8 Pleting</t>
  </si>
  <si>
    <t>17-PR-003</t>
  </si>
  <si>
    <t>Baud M12x25 8.8 Pleting</t>
  </si>
  <si>
    <t>17-PR-004</t>
  </si>
  <si>
    <t>Baud M12x30 8.8 Pleting</t>
  </si>
  <si>
    <t>17-PR-005</t>
  </si>
  <si>
    <t>Baud M12x50 8.8 Pleting</t>
  </si>
  <si>
    <t>Baud M12x100 8.8 Pleting</t>
  </si>
  <si>
    <t>Baud M14x50 8.8 Pleting</t>
  </si>
  <si>
    <t>17-PR-006</t>
  </si>
  <si>
    <t>Baud M14x70 Pleting</t>
  </si>
  <si>
    <t>Baud M14x100 8.8 Pleting</t>
  </si>
  <si>
    <t>17-PR-007</t>
  </si>
  <si>
    <t>Baud Ukuran 16x30 Pleting</t>
  </si>
  <si>
    <t>Baud M16x90 8.8 Pleting</t>
  </si>
  <si>
    <t>Baud M24x70 8.8 Pleting</t>
  </si>
  <si>
    <t>17-PR-008</t>
  </si>
  <si>
    <t>Baud M4x15 Silver</t>
  </si>
  <si>
    <t>17-PR-009</t>
  </si>
  <si>
    <t>Baud M4x20 Silver</t>
  </si>
  <si>
    <t>17-PR-010</t>
  </si>
  <si>
    <t>Baud M4x40 Silver</t>
  </si>
  <si>
    <t>Baud JF M4x50 Silver</t>
  </si>
  <si>
    <t>Baud JF M5x20 Silver</t>
  </si>
  <si>
    <t>Baud M6 x 20 4.6 Silver</t>
  </si>
  <si>
    <t>Baud M6 x 25 4.6 Silver</t>
  </si>
  <si>
    <t>Baud M6 x 50 4.6 Silver</t>
  </si>
  <si>
    <t>Baud M6 x 70 4.6 Silver</t>
  </si>
  <si>
    <t>Baud M8 x 25 4.6 Silver</t>
  </si>
  <si>
    <t>Baud M8 x 50 4.6 Silver</t>
  </si>
  <si>
    <t>Baud M10 x 15 4.6 Silver</t>
  </si>
  <si>
    <t>Baud M10 x 30 4.6 Silver</t>
  </si>
  <si>
    <t>Baud M10 x 40 4.6 Silver</t>
  </si>
  <si>
    <t>Baud M10 x 50 4.6 Silver</t>
  </si>
  <si>
    <t>Baud M10 x 120 4.6 Silver</t>
  </si>
  <si>
    <t>Baud M12x70 4.6 Silver</t>
  </si>
  <si>
    <t>Baud M16x30 4.6 Silver</t>
  </si>
  <si>
    <t>17-PR-011</t>
  </si>
  <si>
    <t>Baud M6x20 Pleting</t>
  </si>
  <si>
    <t>17-PR-012</t>
  </si>
  <si>
    <t>Baud Ukuran 6x25 Pleting</t>
  </si>
  <si>
    <t>Baud M6x30 8.8 Pleting</t>
  </si>
  <si>
    <t>Baud M6x40 8.8 Pleting</t>
  </si>
  <si>
    <t>Baud M6x50 8.8 Pleting</t>
  </si>
  <si>
    <t>17-PR-013</t>
  </si>
  <si>
    <t>Baud Ukuran 8x25 Pleting</t>
  </si>
  <si>
    <t>Baud M8x50 8.8 Pleting</t>
  </si>
  <si>
    <t>Baud M10x30 10.9 Pleting</t>
  </si>
  <si>
    <t>Baud M12x20 10.9 Pleting</t>
  </si>
  <si>
    <t>Baud M12x30 10.9 Pleting</t>
  </si>
  <si>
    <t>Baud M12x50 10.9 Pleting</t>
  </si>
  <si>
    <t>Baud Napple Treeway Valve M14x30</t>
  </si>
  <si>
    <t>Baud M16x80 8.8 Pleting</t>
  </si>
  <si>
    <t>17-PR-014</t>
  </si>
  <si>
    <t>Name Plate Stainless BATT</t>
  </si>
  <si>
    <t>17-PR-015</t>
  </si>
  <si>
    <t>Name Plate Stainless ESD</t>
  </si>
  <si>
    <t>17-PR-016</t>
  </si>
  <si>
    <t>Name Plate Stainless JUMPSTART</t>
  </si>
  <si>
    <t>17-PR-017</t>
  </si>
  <si>
    <t>Name Plate Stainless PICKTHALL</t>
  </si>
  <si>
    <t>17-PR-018</t>
  </si>
  <si>
    <t>Name Plate Stainless START</t>
  </si>
  <si>
    <t>17-PR-019</t>
  </si>
  <si>
    <t>Puzzle Bracket Strobe C Plate 3mm</t>
  </si>
  <si>
    <t>17-PR-020</t>
  </si>
  <si>
    <t>Puzzle Bulat Plate 3mm</t>
  </si>
  <si>
    <t>17-PR-021</t>
  </si>
  <si>
    <t>Puzzle Loto 2S Horizontall  ( Plate 3mm )</t>
  </si>
  <si>
    <t>17-PR-022</t>
  </si>
  <si>
    <t>Puzzle Loto 2S Lb Belakang ( Plate 3mm )</t>
  </si>
  <si>
    <t>17-PR-023</t>
  </si>
  <si>
    <t>Puzzle Loto 4S Lb Belakang</t>
  </si>
  <si>
    <t>Sealant SIKAFLEK Hitam 221</t>
  </si>
  <si>
    <t>Botol</t>
  </si>
  <si>
    <t>17-PW-001</t>
  </si>
  <si>
    <t>Cat Black Grey BG-77017</t>
  </si>
  <si>
    <t>Kg</t>
  </si>
  <si>
    <t>17-PW-002</t>
  </si>
  <si>
    <t>Cat Dasar Epoxy 231057</t>
  </si>
  <si>
    <t>17-PW-003</t>
  </si>
  <si>
    <t>Cat Hitam Duco 480</t>
  </si>
  <si>
    <t>17-PW-004</t>
  </si>
  <si>
    <t>Cat Merah SR-TT-0013</t>
  </si>
  <si>
    <t>17-PW-005</t>
  </si>
  <si>
    <t>Cat Putih 145-001</t>
  </si>
  <si>
    <t>Cat Kuning Komatsu</t>
  </si>
  <si>
    <t>17-PW-006</t>
  </si>
  <si>
    <t>Cup Brush ( Sikat Kawat ) AN-705-3-CB</t>
  </si>
  <si>
    <t>17-PW-007</t>
  </si>
  <si>
    <t>Dempul Alvagloss D01</t>
  </si>
  <si>
    <t>17-PW-008</t>
  </si>
  <si>
    <t>Engsel Kuning 5cm</t>
  </si>
  <si>
    <t>17-PW-009</t>
  </si>
  <si>
    <t>Engsel Piano Stenlis 18</t>
  </si>
  <si>
    <t>17-PW-010</t>
  </si>
  <si>
    <t>Epoxy Kaleng</t>
  </si>
  <si>
    <t>17-PW-011</t>
  </si>
  <si>
    <t>Gas Co2</t>
  </si>
  <si>
    <t>17-PW-012</t>
  </si>
  <si>
    <t>Gas LPG 3Kg</t>
  </si>
  <si>
    <t>Gas LPG 12Kg</t>
  </si>
  <si>
    <t>17-PW-013</t>
  </si>
  <si>
    <t>Jasa Bending Z Plate 5mm</t>
  </si>
  <si>
    <t>Tekuk</t>
  </si>
  <si>
    <t>17-PW-014</t>
  </si>
  <si>
    <t>Karet List Apar</t>
  </si>
  <si>
    <t>17-PW-015</t>
  </si>
  <si>
    <t>Kawat Las Co 0,8 mm 15 Kg</t>
  </si>
  <si>
    <t>Kawat Las LB 2.6mm @250 pcs</t>
  </si>
  <si>
    <t>Kawat Las RD 2.0</t>
  </si>
  <si>
    <t>17-PW-016</t>
  </si>
  <si>
    <t>Lakban Kertas Putih 2mm</t>
  </si>
  <si>
    <t>17-PW-017</t>
  </si>
  <si>
    <t>Lakban Kertas Putih 5mm</t>
  </si>
  <si>
    <t>17-PW-018</t>
  </si>
  <si>
    <t>Lem Aibon</t>
  </si>
  <si>
    <t>17-PW-019</t>
  </si>
  <si>
    <t>Lock Clamp Bracket Apar</t>
  </si>
  <si>
    <t>17-PW-020</t>
  </si>
  <si>
    <t>Lock Nut M10 Bulat 2 cm</t>
  </si>
  <si>
    <t>17-PW-021</t>
  </si>
  <si>
    <t>Lock Pintu loto STENLIS</t>
  </si>
  <si>
    <t>17-PW-022</t>
  </si>
  <si>
    <t>Gas Oxygen 70 Kg</t>
  </si>
  <si>
    <t>17-PW-023</t>
  </si>
  <si>
    <t>Paku Rivet 3,2 mm x 11 mm ( @1000 Pcs )</t>
  </si>
  <si>
    <t>17-PW-024</t>
  </si>
  <si>
    <t>TAIYO Amplas Susun 4" Grid 80</t>
  </si>
  <si>
    <t>17-PW-025</t>
  </si>
  <si>
    <t>Thiner PU+</t>
  </si>
  <si>
    <t>Liter</t>
  </si>
  <si>
    <t>17-PW-026</t>
  </si>
  <si>
    <t>Thinner Cuci ND P2BM11-ND</t>
  </si>
  <si>
    <t>Thinner HG</t>
  </si>
  <si>
    <t>17-PW-027</t>
  </si>
  <si>
    <t>U Bold 5/16 x 3/4"</t>
  </si>
  <si>
    <t>17-PW-028</t>
  </si>
  <si>
    <t>WD Cutting Wheel 14 Inc</t>
  </si>
  <si>
    <t>17-PW-029</t>
  </si>
  <si>
    <t>Wrapping Packing All @ 50 mtr</t>
  </si>
  <si>
    <t>17-PW-030</t>
  </si>
  <si>
    <t>Lakban Warna Kuning</t>
  </si>
  <si>
    <t>17-PW-031</t>
  </si>
  <si>
    <t>Majun Kain</t>
  </si>
  <si>
    <t>17-PW-032</t>
  </si>
  <si>
    <t>Seal Tape ONDA @ 10 Meter</t>
  </si>
  <si>
    <t>17-PW-033</t>
  </si>
  <si>
    <t>ELBOW DN 5/8 MC 90</t>
  </si>
  <si>
    <t>ELBOW  3/8-1/2 INCH</t>
  </si>
  <si>
    <t>ELBOW 1 1/4 INC</t>
  </si>
  <si>
    <t>ELBOW 3 INC</t>
  </si>
  <si>
    <t>Mata Gerinda Potong</t>
  </si>
  <si>
    <t>Pilok Hitam</t>
  </si>
  <si>
    <t>Pilok Putih</t>
  </si>
  <si>
    <t>Pilok Samurai Kuning</t>
  </si>
  <si>
    <t>Pilok Samurai Merah</t>
  </si>
  <si>
    <t>17-PW-034</t>
  </si>
  <si>
    <t>Pittings PVC Hose 12 mm</t>
  </si>
  <si>
    <t>17-PW-035</t>
  </si>
  <si>
    <t>Pittings PVC Hose 8 mm</t>
  </si>
  <si>
    <t>17-PW-036</t>
  </si>
  <si>
    <t>Batu Gerinda Poles 4" WD R/T27-A24-4</t>
  </si>
  <si>
    <t>CONSUMABLE</t>
  </si>
  <si>
    <t>18-0.332.019.203</t>
  </si>
  <si>
    <t>Relay NO 24 VDC</t>
  </si>
  <si>
    <t>18-0.332.209.204</t>
  </si>
  <si>
    <t>Relay Bosch Change Over with Diode</t>
  </si>
  <si>
    <t>18-1122A-15A</t>
  </si>
  <si>
    <t>Toggle Switch Spring Return 3p On-Off-On 1122A</t>
  </si>
  <si>
    <t>18-1443344</t>
  </si>
  <si>
    <t>Cable Terminal Scania 1443344</t>
  </si>
  <si>
    <t>18-1448955</t>
  </si>
  <si>
    <t>Cable Terminal Scania 1448955</t>
  </si>
  <si>
    <t>18-214830-FS-10A</t>
  </si>
  <si>
    <t>Fuse 10A</t>
  </si>
  <si>
    <t>18-27/1200070-1</t>
  </si>
  <si>
    <t>Conduit no Belah 7 mm</t>
  </si>
  <si>
    <t>18-1C35RMV</t>
  </si>
  <si>
    <t>Rectangular Lamp  Red</t>
  </si>
  <si>
    <t>18-206-06-61130</t>
  </si>
  <si>
    <t>Soket Sensor Pressure Switch PC200-7</t>
  </si>
  <si>
    <t>18-25/1723</t>
  </si>
  <si>
    <t>Buzzer Alarm 1723</t>
  </si>
  <si>
    <t>18-27/1200070</t>
  </si>
  <si>
    <t>FRCOT 7mm NS (10m/coil)</t>
  </si>
  <si>
    <t>FRCOT 7mm NS Belah (10m/coil)</t>
  </si>
  <si>
    <t>18-27/1200089</t>
  </si>
  <si>
    <t>FRCOT 10mm NS (10m/coil)</t>
  </si>
  <si>
    <t>18-27/1200100</t>
  </si>
  <si>
    <t>FRCOT 13mm NS (10m/coil)</t>
  </si>
  <si>
    <t>18-300937</t>
  </si>
  <si>
    <t>Relay Durakool</t>
  </si>
  <si>
    <t>18-6ED1052-0BA8</t>
  </si>
  <si>
    <t>PLC SIEMENS LOGO! 6ED1052-1MD00-0BA8</t>
  </si>
  <si>
    <t>18-8800</t>
  </si>
  <si>
    <t>Cable 3 mm Black (1.25 @500 m)</t>
  </si>
  <si>
    <t>18-8800-1</t>
  </si>
  <si>
    <t>Cable 3 mm Black stripe Red (1.25 @500M)</t>
  </si>
  <si>
    <t>18-8801</t>
  </si>
  <si>
    <t>Cable 3 mm Red (1.25 @500M)</t>
  </si>
  <si>
    <t>18-8801-7</t>
  </si>
  <si>
    <t>Cable 3 mm Red stripe White (1.25 @500M)</t>
  </si>
  <si>
    <t>18-8802</t>
  </si>
  <si>
    <t>Cable 3 mm Green (1.25 @500M)</t>
  </si>
  <si>
    <t>18-8802-0</t>
  </si>
  <si>
    <t>Cable 3 mm Green stripe Black (1.25 @500M)</t>
  </si>
  <si>
    <t>18-8802-1</t>
  </si>
  <si>
    <t>Cable 3 mm Green stripe Red (1.25 @500M)</t>
  </si>
  <si>
    <t>18-8802-3</t>
  </si>
  <si>
    <t>Cable 3 mm Green stripe Yellow (1.25 @500M)</t>
  </si>
  <si>
    <t>18-8802-7</t>
  </si>
  <si>
    <t>Cable 3 mm Green stripe White (1.25 @500M)</t>
  </si>
  <si>
    <t>18-8803</t>
  </si>
  <si>
    <t>Cable 3 mm Yellow (1.25 @500M)</t>
  </si>
  <si>
    <t>18-8803-2</t>
  </si>
  <si>
    <t>Cable 3 mm Yellow stripe Green (1.25 @500M)</t>
  </si>
  <si>
    <t>18-8804</t>
  </si>
  <si>
    <t>Cable 3 mm Blue (1.25 @500M)</t>
  </si>
  <si>
    <t>18-8804-7</t>
  </si>
  <si>
    <t>Cable 3 mm Blue stripe White (1.25 @500M)</t>
  </si>
  <si>
    <t>18-8805</t>
  </si>
  <si>
    <t>Cable 3 mm Orange (1.25 @500M)</t>
  </si>
  <si>
    <t>18-8806</t>
  </si>
  <si>
    <t>Cable 3 mm Violet (1.25 @500M)</t>
  </si>
  <si>
    <t>18-8807</t>
  </si>
  <si>
    <t>Cable 3 mm White (1.25 @500M)</t>
  </si>
  <si>
    <t>18-8807-0</t>
  </si>
  <si>
    <t>Cable 3 mm White Stripe Black (1.25 @500M)</t>
  </si>
  <si>
    <t>18-8808</t>
  </si>
  <si>
    <t>Cable 3 mm Brown (1.25 @500M)</t>
  </si>
  <si>
    <t>18-8808-7</t>
  </si>
  <si>
    <t>Cable 3 mm Brown stripe White (1.25 @500M)</t>
  </si>
  <si>
    <t>18-8810</t>
  </si>
  <si>
    <t>Cable 4 mm Black (2.00 @400M)</t>
  </si>
  <si>
    <t>18-8810A</t>
  </si>
  <si>
    <t>Cable 4 mm Black 4 mm (2.00 @400M)</t>
  </si>
  <si>
    <t>18-8811</t>
  </si>
  <si>
    <t>Cable 4 mm Red (2.00 @400M)</t>
  </si>
  <si>
    <t>18-8812</t>
  </si>
  <si>
    <t>Cable 4 mm Green (2.00 @400M)</t>
  </si>
  <si>
    <t>18-8814</t>
  </si>
  <si>
    <t>Cable 4 mm Blue (2.00 @400M)</t>
  </si>
  <si>
    <t>18-8816</t>
  </si>
  <si>
    <t>Cable 4 mm Violet (2.00 @400M)</t>
  </si>
  <si>
    <t>18-9S-9015</t>
  </si>
  <si>
    <t>Receptacle Cat</t>
  </si>
  <si>
    <t>18-BF2.5-SKS-B</t>
  </si>
  <si>
    <t>Skun Sambung Bambu (biru)</t>
  </si>
  <si>
    <t>18-BF2.5-SKS-R</t>
  </si>
  <si>
    <t>Skun Sambung Bambu (Merah)</t>
  </si>
  <si>
    <t>18-BF2.5-SKS-Y</t>
  </si>
  <si>
    <t>Skun Sambung Bambu (Kuning)</t>
  </si>
  <si>
    <t>18-BRM-EM81</t>
  </si>
  <si>
    <t>Bracket Antena Radio Jepit</t>
  </si>
  <si>
    <t>18-BRM-RG58A</t>
  </si>
  <si>
    <t>Bracket Magnet Antena Radio</t>
  </si>
  <si>
    <t>18-BX-001</t>
  </si>
  <si>
    <t>Kardus Coklat Polos LKPP</t>
  </si>
  <si>
    <t>Minyak Kayu Putih</t>
  </si>
  <si>
    <t>Spray Gun</t>
  </si>
  <si>
    <t>Ring Breather Flomax</t>
  </si>
  <si>
    <t>18-CA1250</t>
  </si>
  <si>
    <t>Kabel Audio Mobil Merk American Challenge</t>
  </si>
  <si>
    <t>18-CDC-25A</t>
  </si>
  <si>
    <t>Converter GP Akai DC 24v-12v 25A</t>
  </si>
  <si>
    <t>18-CRM-BNC-F</t>
  </si>
  <si>
    <t>Connector Radio Motorola PL Female - BNC female</t>
  </si>
  <si>
    <t>18-CS01</t>
  </si>
  <si>
    <t>Cover Skun Peluru Male @ 100 Pcs</t>
  </si>
  <si>
    <t>18-CS02</t>
  </si>
  <si>
    <t>Cover Skun Peluru Female @ 100 Pcs</t>
  </si>
  <si>
    <t>18-CTM-T8000</t>
  </si>
  <si>
    <t>Converter T8000 24-13,8v 45A</t>
  </si>
  <si>
    <t>18-CV-100</t>
  </si>
  <si>
    <t>KSS Cable Ties 100 mm Black (isi 100 pcs)</t>
  </si>
  <si>
    <t>Pack</t>
  </si>
  <si>
    <t>18-CV-150</t>
  </si>
  <si>
    <t>KSS Cable Ties 150 mm Black (isi 100 pcs)</t>
  </si>
  <si>
    <t>18-CV-150-3,6</t>
  </si>
  <si>
    <t>FORT Cable Ties 150 mm Black (isi 100 pcs) 3.6</t>
  </si>
  <si>
    <t>18-CV-200-4,8</t>
  </si>
  <si>
    <t>FORT Cable Ties 200 mm Black (isi 100 pcs) 4.8</t>
  </si>
  <si>
    <t>18-CV-250</t>
  </si>
  <si>
    <t>KSS Cable Ties 250 mm Black (isi 100 pcs)</t>
  </si>
  <si>
    <t>18-CV-250-4,8</t>
  </si>
  <si>
    <t>FORT Cable Ties 250 mm Black (isi 100 pcs) 4.8</t>
  </si>
  <si>
    <t>18-CV-300-4,8</t>
  </si>
  <si>
    <t>FORT Cable Ties 300 mm Black (isi 100 pcs) 4.8</t>
  </si>
  <si>
    <t>18-CV-300-B</t>
  </si>
  <si>
    <t>KSS Cable Ties 300 mm Black (isi 100 pcs) B</t>
  </si>
  <si>
    <t>18-CV-300-SB</t>
  </si>
  <si>
    <t>KSS Cable Ties 300 mm Black (isi 100 pcs) SB</t>
  </si>
  <si>
    <t>18-DM/FW</t>
  </si>
  <si>
    <t>Dashboard Marking Fatique Warning</t>
  </si>
  <si>
    <t>Marking Emergency Stop Telemekanik</t>
  </si>
  <si>
    <t>18-DSAG-0012-W</t>
  </si>
  <si>
    <t>Hibox DSAG-0012-W (275x225x180)</t>
  </si>
  <si>
    <t>18-DSAG-0813</t>
  </si>
  <si>
    <t>Hi Box DS-AG-0813 ( 80x160x90 )</t>
  </si>
  <si>
    <t>18-DSAG-0816</t>
  </si>
  <si>
    <t>Hi Box DS-AG-0816 ( 80x130x70 )</t>
  </si>
  <si>
    <t>Hi Box DS-AG-0816 ( 80x160x90 )</t>
  </si>
  <si>
    <t>18-DSAG-0818</t>
  </si>
  <si>
    <t>Hi Box DS-AG-0816 ( 80x180x70 )</t>
  </si>
  <si>
    <t>18-DT12</t>
  </si>
  <si>
    <t>Deutch Connector DT12 Set</t>
  </si>
  <si>
    <t>18-DT2</t>
  </si>
  <si>
    <t>Deutch Connector DT2 Set</t>
  </si>
  <si>
    <t>18-DT3</t>
  </si>
  <si>
    <t>Deutch Connector DT3 Set</t>
  </si>
  <si>
    <t>18-DT4</t>
  </si>
  <si>
    <t>Deutch Connector DT4 Set</t>
  </si>
  <si>
    <t>18-DT6</t>
  </si>
  <si>
    <t>Deutch Connector DT6 Set</t>
  </si>
  <si>
    <t>18-DT8</t>
  </si>
  <si>
    <t>Deutch Connector DT8 Set</t>
  </si>
  <si>
    <t>18-H-1865-UTX</t>
  </si>
  <si>
    <t>Skun Utilux QC 8.3 mm @ 150 Pcs</t>
  </si>
  <si>
    <t>18-H-2832-UTX</t>
  </si>
  <si>
    <t>Skun Utilux 6.3 mm Male @ 150 Pcs</t>
  </si>
  <si>
    <t>18-H-300501-0</t>
  </si>
  <si>
    <t>Skun Utilux Bulat Peluru Male @ 150 Pcs</t>
  </si>
  <si>
    <t>18-H-300501-1</t>
  </si>
  <si>
    <t>Skun Utilux Bulat Peluru Female @ 150 Pcs</t>
  </si>
  <si>
    <t>18-H-3555-UTX</t>
  </si>
  <si>
    <t>Skun Utilux 6.3 mm Female @ 150 Pcs</t>
  </si>
  <si>
    <t>18-H-8163-UTX</t>
  </si>
  <si>
    <t>Skun Utilux QC 6.3 mm @ 150 Pcs</t>
  </si>
  <si>
    <t>18-HSF-01</t>
  </si>
  <si>
    <t>Housing Fuse</t>
  </si>
  <si>
    <t>18-HSR-01</t>
  </si>
  <si>
    <t>Housing Relay</t>
  </si>
  <si>
    <t>18-HS-001</t>
  </si>
  <si>
    <t>Hose Fastfuel 5/8 x 142</t>
  </si>
  <si>
    <t>18-HS-002</t>
  </si>
  <si>
    <t>Hose Fastfuel 5/8 x 261</t>
  </si>
  <si>
    <t>18-HS-003</t>
  </si>
  <si>
    <t>Hose Racor PC400</t>
  </si>
  <si>
    <t>18-HS-004</t>
  </si>
  <si>
    <t xml:space="preserve">Hose Racor Scania </t>
  </si>
  <si>
    <t>18-HS-005</t>
  </si>
  <si>
    <t>Hose Racor Quester</t>
  </si>
  <si>
    <t>18-HS-006</t>
  </si>
  <si>
    <t>Hose Treeway Valve 3/8 RI x29</t>
  </si>
  <si>
    <t>18-HS-007</t>
  </si>
  <si>
    <t>Hose Treeway Valve 3/8 RI x84</t>
  </si>
  <si>
    <t>18-HS-008</t>
  </si>
  <si>
    <t>Nipple Hose Racor 5/8''</t>
  </si>
  <si>
    <t>18-HS-009</t>
  </si>
  <si>
    <t>Hose Nylon 6x8mm Hitam Merk SHPI</t>
  </si>
  <si>
    <t>18-HS-010</t>
  </si>
  <si>
    <t>Hose Nylon 9x12mm Hitam Merk SHPI</t>
  </si>
  <si>
    <t>18-HST-04-LOC</t>
  </si>
  <si>
    <t>Heat Shrink Tube 4 mm</t>
  </si>
  <si>
    <t>18-HST-08-LOC</t>
  </si>
  <si>
    <t>Heat Shrink Tube 8 mm</t>
  </si>
  <si>
    <t>18-HST-10-LOC</t>
  </si>
  <si>
    <t>Heat Shrink Tube 10 mm</t>
  </si>
  <si>
    <t>18-HST-18-LOC</t>
  </si>
  <si>
    <t>Heat Shrink Tube 18 mm</t>
  </si>
  <si>
    <t>18-HST-20H-LOC</t>
  </si>
  <si>
    <t>Heat Shrink Tube Hitam 20mm</t>
  </si>
  <si>
    <t>18-HST-20M-LOC</t>
  </si>
  <si>
    <t>Heat Shrink Tube Merah 20mm</t>
  </si>
  <si>
    <t>18-KSS-HC102</t>
  </si>
  <si>
    <t>KSS Tie Mount HC102</t>
  </si>
  <si>
    <t>18-KSS-SP-12BK</t>
  </si>
  <si>
    <t>Spiral Wire Protection KSS-12 Hitam @ 10 Mtr</t>
  </si>
  <si>
    <t>18-KSS-SP-24BK</t>
  </si>
  <si>
    <t>Spiral Wire Protection KSS-24 Hitam @ 10 Mtr</t>
  </si>
  <si>
    <t>18-NYAF/70-1</t>
  </si>
  <si>
    <t>Kabel Battery Merah NYAF 70 mm</t>
  </si>
  <si>
    <t>18-NYAF/70-2</t>
  </si>
  <si>
    <t>Kabel Battery Hitam NYAF 70 mm</t>
  </si>
  <si>
    <t>18-NYAF/95-1</t>
  </si>
  <si>
    <t>Kabel Battery Merah NYAF 95 mm</t>
  </si>
  <si>
    <t>18-NYAF/95-2</t>
  </si>
  <si>
    <t>Kabel Battery Hitam NYAF 95 mm</t>
  </si>
  <si>
    <t>18-PCL-10</t>
  </si>
  <si>
    <t>P clamp 10 mm</t>
  </si>
  <si>
    <t>P clamp 20 mm</t>
  </si>
  <si>
    <t>18-PCL-40</t>
  </si>
  <si>
    <t>P Clamp 40 mm</t>
  </si>
  <si>
    <t>Grease Gun</t>
  </si>
  <si>
    <t>18-PG11</t>
  </si>
  <si>
    <t>Gland Cable PG11</t>
  </si>
  <si>
    <t>18-PG16</t>
  </si>
  <si>
    <t>Gland Cable PG16</t>
  </si>
  <si>
    <t>18-PG21</t>
  </si>
  <si>
    <t>Gland Cable PG21</t>
  </si>
  <si>
    <t>18-RF2-4-SKR</t>
  </si>
  <si>
    <t>Skun Ring 2-4</t>
  </si>
  <si>
    <t>18-RF2-5-SKR</t>
  </si>
  <si>
    <t>Skun Ring 2-5</t>
  </si>
  <si>
    <t>18-RF2-8-SKR</t>
  </si>
  <si>
    <t>Skun Ring 2-8</t>
  </si>
  <si>
    <t>18-RF5.5-10-SKR</t>
  </si>
  <si>
    <t>Skun Ring 5.5-10</t>
  </si>
  <si>
    <t>18-RF5.5-12-SKR</t>
  </si>
  <si>
    <t>Skun Ring 5.5-12</t>
  </si>
  <si>
    <t>18-RG-214-7</t>
  </si>
  <si>
    <t>Kabel Koaksial Antena Radio 7 Mtr</t>
  </si>
  <si>
    <t>18-SC120-12</t>
  </si>
  <si>
    <t>Skun Kabel Battery SC120-12</t>
  </si>
  <si>
    <t>18-SC2201</t>
  </si>
  <si>
    <t xml:space="preserve">Isolasi Hitam </t>
  </si>
  <si>
    <t>18-SC95-12</t>
  </si>
  <si>
    <t>Skun Kabel Battery SC95-12</t>
  </si>
  <si>
    <t>18-SCN-001</t>
  </si>
  <si>
    <t>Skun Scania Holder Kit</t>
  </si>
  <si>
    <t>18-SGH-142</t>
  </si>
  <si>
    <t xml:space="preserve">Spiral Guard 142 Racor In For Excavator </t>
  </si>
  <si>
    <t>18-SGH-261</t>
  </si>
  <si>
    <t xml:space="preserve">Spiral Guard 261 Racor Out For Excavator </t>
  </si>
  <si>
    <t>18-SR-45</t>
  </si>
  <si>
    <t>Incline Sensor 45 Deg</t>
  </si>
  <si>
    <t>18-ST/K2152-Y</t>
  </si>
  <si>
    <t>Stiker Fatique Warning K2152-Y</t>
  </si>
  <si>
    <t>18-ST-001</t>
  </si>
  <si>
    <t>Sticker PICKTHALL APAR</t>
  </si>
  <si>
    <t>18-ST-002</t>
  </si>
  <si>
    <t>Stiker PICKTHALL Hitam</t>
  </si>
  <si>
    <t>18-ST-003</t>
  </si>
  <si>
    <t>Stiker PICKTHALL Segel Kuning</t>
  </si>
  <si>
    <t>18-ST-004</t>
  </si>
  <si>
    <t>Stiker PICKTHALL Segel Putih</t>
  </si>
  <si>
    <t>18-SW-BUA</t>
  </si>
  <si>
    <t>Switch Back Up Alarm</t>
  </si>
  <si>
    <t>18-TSR-4</t>
  </si>
  <si>
    <t>Toggle Switch Rocker 4 pin</t>
  </si>
  <si>
    <t>18-VD-2-3.6-BF</t>
  </si>
  <si>
    <t>Skun VD 2-3.6 Blue Famale</t>
  </si>
  <si>
    <t>18-VD-2-3.6-BM</t>
  </si>
  <si>
    <t>Skun VD 2-3.6 Blue Male</t>
  </si>
  <si>
    <t>18-VF2-SKG-4YSY</t>
  </si>
  <si>
    <t>Skun Garpu kecil</t>
  </si>
  <si>
    <t>18-VF2-SKJ-1.25-18</t>
  </si>
  <si>
    <t>Skun jarum 1.25-18</t>
  </si>
  <si>
    <t>18-VT10</t>
  </si>
  <si>
    <t>PVC Sleeving 10 mm @ 200 m</t>
  </si>
  <si>
    <t>18-VT12</t>
  </si>
  <si>
    <t>PVC Sleeving 12 mm @ 200 m</t>
  </si>
  <si>
    <t>18-VT16</t>
  </si>
  <si>
    <t>PVC Sleeving 16 mm @ 100 m</t>
  </si>
  <si>
    <t>18-VT6</t>
  </si>
  <si>
    <t>PVC Sleeving 6 per roll 100 mtr</t>
  </si>
  <si>
    <t>18-VT7</t>
  </si>
  <si>
    <t>PVC Sleeving 7 mm @ 100 m</t>
  </si>
  <si>
    <t>18-VT8</t>
  </si>
  <si>
    <t>PVC Sleeving 8 mm @ 100 m</t>
  </si>
  <si>
    <t>BARANG</t>
  </si>
  <si>
    <t>19-003-12</t>
  </si>
  <si>
    <t>DT Clip</t>
  </si>
  <si>
    <t>19-16/75907/1</t>
  </si>
  <si>
    <t>Battery and Field Isolation switch 300A</t>
  </si>
  <si>
    <t>19-1646A/H</t>
  </si>
  <si>
    <t>Strobe Light HELLA Amber</t>
  </si>
  <si>
    <t>19-1723-1</t>
  </si>
  <si>
    <t>Buzzer Alarm 3 kaki 12-24 VDC</t>
  </si>
  <si>
    <t>19-206-06-61130</t>
  </si>
  <si>
    <t>Sensor Pressure Switch PC200-7</t>
  </si>
  <si>
    <t>19-2152-P</t>
  </si>
  <si>
    <t>Modul Fatigue Warning With Plc</t>
  </si>
  <si>
    <t>Modul Fatigue Warning Micro</t>
  </si>
  <si>
    <t>Modul Idle Timer Warning With Plc</t>
  </si>
  <si>
    <t>Modul Idle Timer Micro</t>
  </si>
  <si>
    <t>Modul Idle Timer Micro Spek D85</t>
  </si>
  <si>
    <t>Modul Incline Shutdown Micro</t>
  </si>
  <si>
    <t>Pdu Candelux</t>
  </si>
  <si>
    <t>Module Idle Timer RCT</t>
  </si>
  <si>
    <t>19-25/8248</t>
  </si>
  <si>
    <t>LED Pilot Lamp FW 24 V</t>
  </si>
  <si>
    <t>19-25550-Z5002</t>
  </si>
  <si>
    <t>Relay 1T Jideco MRSA-052-1 24V</t>
  </si>
  <si>
    <t>19-3M-BB-40</t>
  </si>
  <si>
    <t>Kaca Film 3M Black Beuty40%</t>
  </si>
  <si>
    <t>19-4261A</t>
  </si>
  <si>
    <t>Strobe Light Amber LED</t>
  </si>
  <si>
    <t>19-4261-AB</t>
  </si>
  <si>
    <t>Rotary Lamp AMBER Britax BEACON</t>
  </si>
  <si>
    <t>19-4261A-S</t>
  </si>
  <si>
    <t>Strobe Light Amber Kecil</t>
  </si>
  <si>
    <t>19-4261B</t>
  </si>
  <si>
    <t>Strobe Light Blue LED</t>
  </si>
  <si>
    <t>19-4361638-CFT</t>
  </si>
  <si>
    <t>Cap Fuel Tank</t>
  </si>
  <si>
    <t>19-56SW110</t>
  </si>
  <si>
    <t>Clipsall 10A</t>
  </si>
  <si>
    <t>19-56SW120</t>
  </si>
  <si>
    <t>Clipsall 20A</t>
  </si>
  <si>
    <t>19-62200</t>
  </si>
  <si>
    <t>BULB H1 12V 100W</t>
  </si>
  <si>
    <t>19-62201</t>
  </si>
  <si>
    <t>Bulb H3 12V 100W PK22S</t>
  </si>
  <si>
    <t>19-62203</t>
  </si>
  <si>
    <t>BULB H4 12V 100/80W</t>
  </si>
  <si>
    <t>19-64151ALS</t>
  </si>
  <si>
    <t>Bulb H3 12V 55W PL22S</t>
  </si>
  <si>
    <t>19-64155</t>
  </si>
  <si>
    <t>BULB H1 24V 70W</t>
  </si>
  <si>
    <t>19-64155LTS</t>
  </si>
  <si>
    <t>BULB H1 24V 70W LTS</t>
  </si>
  <si>
    <t>19-64156</t>
  </si>
  <si>
    <t>BULB H3 24V 70W</t>
  </si>
  <si>
    <t>19-64193</t>
  </si>
  <si>
    <t>BULB H4 12V 60/55W</t>
  </si>
  <si>
    <t>19-64193ALS</t>
  </si>
  <si>
    <t>Bulb H4 12V 60/55W P43T</t>
  </si>
  <si>
    <t>19-64210</t>
  </si>
  <si>
    <t>BULB H7 12V 55W</t>
  </si>
  <si>
    <t>19-64210ALL</t>
  </si>
  <si>
    <t>BULB H7 12V 55W ALS</t>
  </si>
  <si>
    <t>19-64215</t>
  </si>
  <si>
    <t>BULB H7 24V 70W</t>
  </si>
  <si>
    <t>19-66021616-NAP</t>
  </si>
  <si>
    <t>Coupler Napple 1-150 AMK</t>
  </si>
  <si>
    <t>19-66450</t>
  </si>
  <si>
    <t>Bulb D4R Xenon Lamp 12V/24V</t>
  </si>
  <si>
    <t>19-7980A/E</t>
  </si>
  <si>
    <t>Strobe Light Amber ECCO</t>
  </si>
  <si>
    <t>19-7980B/E</t>
  </si>
  <si>
    <t>Strobe Light Blue ECCO</t>
  </si>
  <si>
    <t>19-9H/9017</t>
  </si>
  <si>
    <t>Receptacle Battery Jumpstart Hella</t>
  </si>
  <si>
    <t>19-AD1S-O</t>
  </si>
  <si>
    <t>BULB D1S 24V 35W ABL</t>
  </si>
  <si>
    <t>19-AD2S-O</t>
  </si>
  <si>
    <t>BULB 66040 HID 24V 35W</t>
  </si>
  <si>
    <t>19-APR/02</t>
  </si>
  <si>
    <t>Alat Pemadam Api Ringan 2 kg</t>
  </si>
  <si>
    <t>19-APR/03</t>
  </si>
  <si>
    <t>Alat Pemadam Api Ringan 3 kg</t>
  </si>
  <si>
    <t>19-APR/06</t>
  </si>
  <si>
    <t>Alat Pemadam Api Ringan 6 kg</t>
  </si>
  <si>
    <t>19-APR/09</t>
  </si>
  <si>
    <t>Alat Pemadam Api Ringan 9 kg</t>
  </si>
  <si>
    <t>19-APR01</t>
  </si>
  <si>
    <t>Alat Pemadam Api Ringan 1 kg</t>
  </si>
  <si>
    <t>19-BRM-LIC</t>
  </si>
  <si>
    <t>Bracket Loto Insert Cabin</t>
  </si>
  <si>
    <t>19-BRM-2S/H</t>
  </si>
  <si>
    <t>Bracket Lotobox 2 Sistem Horizontal</t>
  </si>
  <si>
    <t>19-BRM-2S/V/785</t>
  </si>
  <si>
    <t>Bracket Lotobox 2 Sistem Vertical Spek HD785</t>
  </si>
  <si>
    <t>19-BRM-2S/V/UDTQ</t>
  </si>
  <si>
    <t>Bracket Lotobox 2 Sistem Vertical Spek Truck</t>
  </si>
  <si>
    <t>19-BRM-2S/V/D375</t>
  </si>
  <si>
    <t>Bracket Lotobox 2 Sistem Vertical Spek D375</t>
  </si>
  <si>
    <t>19-BRM-2S/V/BW220</t>
  </si>
  <si>
    <t>Bracket Lotobox 2 Sistem Vertical Spek BW220D</t>
  </si>
  <si>
    <t>19-BRM-LOBS-3S</t>
  </si>
  <si>
    <t>Bracket Lotobox 3 Sistem Lubang Belakang</t>
  </si>
  <si>
    <t>19-BRM-LOBS-3S-D375/BW220</t>
  </si>
  <si>
    <t>Bracket Lotobox 3 Sistem Spek D375/BW220</t>
  </si>
  <si>
    <t>19-BRM-LOBS-3S-D65/85</t>
  </si>
  <si>
    <t>Bracket Lotobox 3 Sistem Spek D65/85</t>
  </si>
  <si>
    <t>19-BRM-LOBS/4SLB</t>
  </si>
  <si>
    <t>Bracket Lotobox 4 Sistem Lubang Belakang</t>
  </si>
  <si>
    <t>Bracket Lotobox 4 Sistem Spek D375/BW220</t>
  </si>
  <si>
    <t>Bracket Lotobox 4 Sistem Spek D65/85</t>
  </si>
  <si>
    <t>Bracket Lotobox 4 Sistem Horizontal Stainless Lubang Belakang</t>
  </si>
  <si>
    <t>Bracket Lotobox 4 Sistem Vertical Stainless Lubang Belakang</t>
  </si>
  <si>
    <t xml:space="preserve">19-BRM-AP/3 </t>
  </si>
  <si>
    <t>Bracket Apar 3 Kg</t>
  </si>
  <si>
    <t>Bracket Apar 3 Kg Sabuk</t>
  </si>
  <si>
    <t>19-BRM-AP6/17</t>
  </si>
  <si>
    <t>Bracket Apar 6 Kg Model Biasa</t>
  </si>
  <si>
    <t>19-BRM-AP6/BMG</t>
  </si>
  <si>
    <t>Bracket Apar 6 Kg Spek BOMAG</t>
  </si>
  <si>
    <t>19-BRM-AP6/D31</t>
  </si>
  <si>
    <t>Bracket Apar 6 Kg Spek D31</t>
  </si>
  <si>
    <t>19-BRM-AP6/D85</t>
  </si>
  <si>
    <t>Bracket Apar 6 Kg Spek D85</t>
  </si>
  <si>
    <t>19-BRM-AP6/EXSM</t>
  </si>
  <si>
    <t>Bracket Apar 6 Kg Spek Excavator Small Machine</t>
  </si>
  <si>
    <t>19-BRM-AP6/GD535</t>
  </si>
  <si>
    <t>Bracket Apar 6 Kg Spek GD535</t>
  </si>
  <si>
    <t>19-BRM-AP6/GD825</t>
  </si>
  <si>
    <t>Bracket Apar 6 Kg Spek GD825</t>
  </si>
  <si>
    <t>19-BRM-AP6/GD755</t>
  </si>
  <si>
    <t>Bracket Apar 6 Kg Spek GD755</t>
  </si>
  <si>
    <t>19-BRM-AP6/UDT</t>
  </si>
  <si>
    <t>Bracket Apar 6 Kg spek Truck Quester UD</t>
  </si>
  <si>
    <t>19-BRM-AP6-VALE</t>
  </si>
  <si>
    <t>Bracket Apar 6 Kg Spek Vale</t>
  </si>
  <si>
    <t>19-BRM-APR6/SCN</t>
  </si>
  <si>
    <t>Bracket Apar 6 Kg Spek SCANIA</t>
  </si>
  <si>
    <t>19-BRM-AP9/D85</t>
  </si>
  <si>
    <t>Bracket Apar 9 Kg Spek D85</t>
  </si>
  <si>
    <t>19-BRM-AP/-D31</t>
  </si>
  <si>
    <t>Bracket Apar 9 Kg Spek D31</t>
  </si>
  <si>
    <t>19-BRM-AP/-D155</t>
  </si>
  <si>
    <t>Bracket Apar 9 Kg Spek D155</t>
  </si>
  <si>
    <t>19-BRM-AP9/EX1250</t>
  </si>
  <si>
    <t>Bracket Apar 9 Kg Spek Excavator PC1250</t>
  </si>
  <si>
    <t>19-BRM-AP9/EXSM</t>
  </si>
  <si>
    <t>Bracket Apar 9 Kg Spek Excavator Small Machine</t>
  </si>
  <si>
    <t>19-BRM-AP9-BMG</t>
  </si>
  <si>
    <t>Bracket Apar 9 Kg Spek BOMAG</t>
  </si>
  <si>
    <t>19-BRM-AP9-GD-535</t>
  </si>
  <si>
    <t>Bracket Apar 9 Kg Spek GD535</t>
  </si>
  <si>
    <t>19-BRM-AP9-GD-825</t>
  </si>
  <si>
    <t>Bracket Apar 9 Kg Spek GD825</t>
  </si>
  <si>
    <t>19-BRM-AP9-VALE</t>
  </si>
  <si>
    <t>Bracket Apar 9 Kg Spek Vale</t>
  </si>
  <si>
    <t>19-BRM-APR9/20</t>
  </si>
  <si>
    <t>Bracket Apar 9 Kg Model Biasa</t>
  </si>
  <si>
    <t>19-BRM-BUA-E850</t>
  </si>
  <si>
    <t>Bracket Back Up Alarm 15 cm</t>
  </si>
  <si>
    <t>19-BRM-BW-B</t>
  </si>
  <si>
    <t>Bracket Buggy Wipe Spek KCMS</t>
  </si>
  <si>
    <t>19-BRM-BW-TRK</t>
  </si>
  <si>
    <t>Bracket Buggy Wipe Spek Truck</t>
  </si>
  <si>
    <t>19-BRM-CVR</t>
  </si>
  <si>
    <t>Bracket Converter Dakai</t>
  </si>
  <si>
    <t>19-BRM-RC-400</t>
  </si>
  <si>
    <t>Bracket Racor PC400</t>
  </si>
  <si>
    <t>19-BRM-SCN-EML</t>
  </si>
  <si>
    <t>Bracket Extendsion Mirror Long</t>
  </si>
  <si>
    <t>19-BRM-SCN-EMS</t>
  </si>
  <si>
    <t>Bracket Extendsion Mirror Short</t>
  </si>
  <si>
    <t>19-BRM-STC</t>
  </si>
  <si>
    <t>Bracket Strobe C</t>
  </si>
  <si>
    <t>19-BRM-ST-HF785</t>
  </si>
  <si>
    <t>Bracket Strobe HD785</t>
  </si>
  <si>
    <t>19-BRM-ST-HD465</t>
  </si>
  <si>
    <t>Bracket Strobe HD465</t>
  </si>
  <si>
    <t>19-BRM-STD</t>
  </si>
  <si>
    <t>Bracket Strobe D155/D375</t>
  </si>
  <si>
    <t>19-BRM-ST-GD755</t>
  </si>
  <si>
    <t>Bracket Strobe GD755</t>
  </si>
  <si>
    <t>19-BRM-ST-GD825</t>
  </si>
  <si>
    <t>Bracket Strobe GD825</t>
  </si>
  <si>
    <t>19-BRM-ST-GD535</t>
  </si>
  <si>
    <t>Bracket Strobe GD535</t>
  </si>
  <si>
    <t>19-BRM-ST-SCN</t>
  </si>
  <si>
    <t>Bracket Strobe Scania</t>
  </si>
  <si>
    <t>19-BRM-ST-UDT</t>
  </si>
  <si>
    <t>Bracket Strobe UDT / Quester</t>
  </si>
  <si>
    <t xml:space="preserve">Bracket Reverse Lamp </t>
  </si>
  <si>
    <t>Bracket Kacamata HD785</t>
  </si>
  <si>
    <t>19-BRM-WLP/5M</t>
  </si>
  <si>
    <t>Bracket Work Lamp LED 5 Mata</t>
  </si>
  <si>
    <t>Bracket Work Lamp LED 6 Mata</t>
  </si>
  <si>
    <t>Bracket Work Lamp Halogen PC300/400</t>
  </si>
  <si>
    <t>Bracket Work Lamp Double PC400</t>
  </si>
  <si>
    <t>Bracket Work Lamp GD705</t>
  </si>
  <si>
    <t>Bracket Work Lamp D85</t>
  </si>
  <si>
    <t>Bracket Work Fog Lamp Spek HD</t>
  </si>
  <si>
    <t>Bracket Work Fog Lamp Spek Truck</t>
  </si>
  <si>
    <t>Bracket Rear Lamp Spek HD</t>
  </si>
  <si>
    <t>Bracket Rear Lamp Spek Truck</t>
  </si>
  <si>
    <t>Bracket 3 Way Valve</t>
  </si>
  <si>
    <t>Bracket Fatigue Warning</t>
  </si>
  <si>
    <t>Bracket Idle Timer</t>
  </si>
  <si>
    <t>Bracket Tire Lamp Truck</t>
  </si>
  <si>
    <t>Bracket Wheelchock Spek SCANIA P420</t>
  </si>
  <si>
    <t>Bracket Wheelchock Spek SCANIA R620</t>
  </si>
  <si>
    <t>Bracket Wheelchock Spek Quester</t>
  </si>
  <si>
    <t>Bracket Safety Cone Spek SCANIA R620</t>
  </si>
  <si>
    <t>Bracket Safety Cone Spek SCANIA P420</t>
  </si>
  <si>
    <t>Bracket Safety Cone Spek BOMAG BW211</t>
  </si>
  <si>
    <t>Bracket Safety Cone Spek BOMAG BW212</t>
  </si>
  <si>
    <t>Bracket Safety Cone Spek Quester</t>
  </si>
  <si>
    <t>Bracket Safety Safety Belt Spek D375</t>
  </si>
  <si>
    <t>Bracket Safety Chain SCANIA</t>
  </si>
  <si>
    <t>Bracket Switch Alarm Dozzer</t>
  </si>
  <si>
    <t>Bracket Support Work Lamp Counter Weight</t>
  </si>
  <si>
    <t>Bracket Fan Guard BOMAG</t>
  </si>
  <si>
    <t>Bracket Support Apar SCANIA R620</t>
  </si>
  <si>
    <t>19-BW-3.6M-O</t>
  </si>
  <si>
    <t>Buggy Whip 3,6 mtr Orange</t>
  </si>
  <si>
    <t>19-BX-001</t>
  </si>
  <si>
    <t>Box Plastik Safety Device Biru - Tebal</t>
  </si>
  <si>
    <t>19-BX-002</t>
  </si>
  <si>
    <t>Box Container Plastik Transparant</t>
  </si>
  <si>
    <t>19-CB-10A</t>
  </si>
  <si>
    <t>Circuit Breaker 10A</t>
  </si>
  <si>
    <t>19-CB-20A</t>
  </si>
  <si>
    <t>Circuit Breaker 20A</t>
  </si>
  <si>
    <t>19-E850</t>
  </si>
  <si>
    <t>Back Up Alarm E850 112Db 12-24V</t>
  </si>
  <si>
    <t>19-EP</t>
  </si>
  <si>
    <t>Ear Plug</t>
  </si>
  <si>
    <t>19-ESP-66/0</t>
  </si>
  <si>
    <t>Emergency Stop 66 Eaton</t>
  </si>
  <si>
    <t>19-FH1000</t>
  </si>
  <si>
    <t>Filter Racor FH1000 Parker</t>
  </si>
  <si>
    <t>19-FLOM/VTC</t>
  </si>
  <si>
    <t>Breather Flomax VT</t>
  </si>
  <si>
    <t>19-FLS-32</t>
  </si>
  <si>
    <t>Flashdisk 32 GB</t>
  </si>
  <si>
    <t>19-GPS-T</t>
  </si>
  <si>
    <t>GPS TRACKER</t>
  </si>
  <si>
    <t>19-HR-001</t>
  </si>
  <si>
    <t>Handraill HB365 KOMATSU</t>
  </si>
  <si>
    <t>19-HR-002</t>
  </si>
  <si>
    <t>Handraill PC210 KOMATSU</t>
  </si>
  <si>
    <t>19-HR-003</t>
  </si>
  <si>
    <t>Handraill PC300 KOMATSU</t>
  </si>
  <si>
    <t>19-HR-004</t>
  </si>
  <si>
    <t>Handraill PC400 KOMATSU</t>
  </si>
  <si>
    <t>19-HR-005</t>
  </si>
  <si>
    <t>Handraill PC500 KOMATSU</t>
  </si>
  <si>
    <t>19-HR-006</t>
  </si>
  <si>
    <t>Handraill PC200 KOMATSU</t>
  </si>
  <si>
    <t>19-HR-007</t>
  </si>
  <si>
    <t>Handraill WA600 KOMATSU</t>
  </si>
  <si>
    <t>19-HR-008</t>
  </si>
  <si>
    <t>Handraill WA500 KOMATSU</t>
  </si>
  <si>
    <t>19-HR-009</t>
  </si>
  <si>
    <t>Handraill GD825</t>
  </si>
  <si>
    <t>19-HR-010</t>
  </si>
  <si>
    <t>Handraill PC1250</t>
  </si>
  <si>
    <t>19-IC-2300H</t>
  </si>
  <si>
    <t>Radio Komunikasi Icom Vhf IC2300H</t>
  </si>
  <si>
    <t>19-IC-F6130D</t>
  </si>
  <si>
    <t>Radio Komunikasi Icom Uhf  IC-F6130D</t>
  </si>
  <si>
    <t>19-IC-V3500H</t>
  </si>
  <si>
    <t>Radio Komunikasi Icom Vhf V3500H</t>
  </si>
  <si>
    <t>19--KENW-281A</t>
  </si>
  <si>
    <t>Radio Komunikasi Kenwood TM281A</t>
  </si>
  <si>
    <t>19-M080024</t>
  </si>
  <si>
    <t>Slincer Spark Arrestor 4" DONALSON</t>
  </si>
  <si>
    <t>19-M150-AR</t>
  </si>
  <si>
    <t>Antena Radio M-150</t>
  </si>
  <si>
    <t>19-M200-AR</t>
  </si>
  <si>
    <t>Antena Radio MC200</t>
  </si>
  <si>
    <t>19-P3K</t>
  </si>
  <si>
    <t>Kotak P3k Set</t>
  </si>
  <si>
    <t>19-PJ19-0008</t>
  </si>
  <si>
    <t>Kernel Automatic Tyre Inflator</t>
  </si>
  <si>
    <t>19-R/AM/FM</t>
  </si>
  <si>
    <t>Radio AM/FM Merk PIONEER DEH-S1250UB</t>
  </si>
  <si>
    <t>19-R150CVC</t>
  </si>
  <si>
    <t>Fuel Receiver double chek Valve include Cap</t>
  </si>
  <si>
    <t>19-SB/03</t>
  </si>
  <si>
    <t>Safety Belt 3 Point</t>
  </si>
  <si>
    <t>19-SB/04</t>
  </si>
  <si>
    <t>Safety Belt 4 Point</t>
  </si>
  <si>
    <t>19-SB/2</t>
  </si>
  <si>
    <t>Safety Belt 2 Point</t>
  </si>
  <si>
    <t>19-SC/70</t>
  </si>
  <si>
    <t>Safety Cone 70cm</t>
  </si>
  <si>
    <t>19-SCJ</t>
  </si>
  <si>
    <t>Seat Cover JOK</t>
  </si>
  <si>
    <t>19-SG</t>
  </si>
  <si>
    <t>Safety Glass</t>
  </si>
  <si>
    <t>19-SH/MSA</t>
  </si>
  <si>
    <t>Safety Helmet Kuning MSA</t>
  </si>
  <si>
    <t>19-SL-BR/1.5</t>
  </si>
  <si>
    <t>Selang Biru 1/2 inc</t>
  </si>
  <si>
    <t>19-SP</t>
  </si>
  <si>
    <t>Segitiga Pengaman</t>
  </si>
  <si>
    <t>19-SP/KIT</t>
  </si>
  <si>
    <t>Spill Kitt Infeksius APD</t>
  </si>
  <si>
    <t>19-STK</t>
  </si>
  <si>
    <t>Sarung Tangan Kain @24 pcs</t>
  </si>
  <si>
    <t>19-SV</t>
  </si>
  <si>
    <t>Safety Vest</t>
  </si>
  <si>
    <t>19-T41-WA60SBF</t>
  </si>
  <si>
    <t>Batu Potong WD 4 Inc</t>
  </si>
  <si>
    <t>19-TBS/91</t>
  </si>
  <si>
    <t>Tool kit Box isi 91 pcs Merk SANDS</t>
  </si>
  <si>
    <t>19-TS-1620F</t>
  </si>
  <si>
    <t>Speaker Coaxial 2 Way Pioneer 6 inch</t>
  </si>
  <si>
    <t>19-WCK/R200</t>
  </si>
  <si>
    <t>Wheelchock Rubber 200 ( 300 x 200 mm )</t>
  </si>
  <si>
    <t>19-WH-BUA-850-UDTQ</t>
  </si>
  <si>
    <t>Wirring Back Up Alarm 850 Speck Truck</t>
  </si>
  <si>
    <t>Wirring Back Up Alarm 850 Speck Dozzer</t>
  </si>
  <si>
    <t>19-WH-FW</t>
  </si>
  <si>
    <t>Wiring Fatique Warning SET</t>
  </si>
  <si>
    <t>19-WH-LOBS-4S</t>
  </si>
  <si>
    <t xml:space="preserve">Wirring Harness Lotobox 4 Sistem </t>
  </si>
  <si>
    <t>19-WH-LOS-2S</t>
  </si>
  <si>
    <t>Wirring Harness Lotobox 2 Sistem</t>
  </si>
  <si>
    <t>19-WH-LOS-2SC</t>
  </si>
  <si>
    <t>Wirring Harness Lotobox 2 Sistem Scania</t>
  </si>
  <si>
    <t>19-WH-LOTI-C</t>
  </si>
  <si>
    <t>Wirring Harness Lotobox Insert Cabin KCMB</t>
  </si>
  <si>
    <t>19-WH-LOS-HM40</t>
  </si>
  <si>
    <t>Wirring Harness Lotobox Single HM400</t>
  </si>
  <si>
    <t>19-WH-LOS-GD755</t>
  </si>
  <si>
    <t>Wirring Harness Lotobox GD755</t>
  </si>
  <si>
    <t>19-WH-LOS-GD825</t>
  </si>
  <si>
    <t>Wirring Harness Lotobox GD825</t>
  </si>
  <si>
    <t>19-WH-LOS-PC200</t>
  </si>
  <si>
    <t>Wirring Harness Lotobox PC200</t>
  </si>
  <si>
    <t>19-WH-LOS-PC500</t>
  </si>
  <si>
    <t>Wirring Harness Lotobox PC500</t>
  </si>
  <si>
    <t>19-WH-LOS-PC1250</t>
  </si>
  <si>
    <t>Wirring Harness Lotobox PC1250</t>
  </si>
  <si>
    <t>19-WH-LOS-D375</t>
  </si>
  <si>
    <t>Wirring Harness Lotobox D375</t>
  </si>
  <si>
    <t>19-WH-LOS-D155</t>
  </si>
  <si>
    <t>Wirring Harness Lotobox D155</t>
  </si>
  <si>
    <t>19-WH-LOS-HM400</t>
  </si>
  <si>
    <t>Wirring Harness Lotobox HM400</t>
  </si>
  <si>
    <t>19-WH-LOS-HD</t>
  </si>
  <si>
    <t>Wirring Harness Lotobox HD</t>
  </si>
  <si>
    <t>Wirring Harness Double Lotobox HD</t>
  </si>
  <si>
    <t>Wirring Harness Double Lotobox GD825</t>
  </si>
  <si>
    <t>Wirring Harness Double Lotobox PC1250</t>
  </si>
  <si>
    <t>19-WH-RVSL</t>
  </si>
  <si>
    <t>Wirring Harness Reverse Lamp + Bua Truck</t>
  </si>
  <si>
    <t>19-WH-ST/LKPP</t>
  </si>
  <si>
    <t>Wirring Harness Strobe LKPP For Exca</t>
  </si>
  <si>
    <t>19-WH-STR</t>
  </si>
  <si>
    <t>Wirring Harness Strobe 2 Mtr</t>
  </si>
  <si>
    <t>19-WH-STR-HD</t>
  </si>
  <si>
    <t>Wirring Harness Strobe HD</t>
  </si>
  <si>
    <t>19-WH-STR-GD825</t>
  </si>
  <si>
    <t>Wirring Harness Strobe Double GD825</t>
  </si>
  <si>
    <t>19-WH-STR-D155</t>
  </si>
  <si>
    <t>Wirring Harness Strobe Double D155</t>
  </si>
  <si>
    <t>19-WH-STR-PC</t>
  </si>
  <si>
    <t>Wirring Harness Strobe Double PC</t>
  </si>
  <si>
    <t>19-WH-STR-HM400</t>
  </si>
  <si>
    <t>Wirring Harness Strobe Double HM400</t>
  </si>
  <si>
    <t>19-WH-TRA/85</t>
  </si>
  <si>
    <t>Wirring Harness Travel Alarm D85</t>
  </si>
  <si>
    <t>19-WH-WL/PC200</t>
  </si>
  <si>
    <t>Wirring Harness Working Lamp PC200</t>
  </si>
  <si>
    <t>19-WH-WLP/UDTQ</t>
  </si>
  <si>
    <t>Wirring Harness Working Lamp Truck</t>
  </si>
  <si>
    <t>Wirring Harness Working Lamp Spek D85</t>
  </si>
  <si>
    <t>Wirring Harness Working Lamp Spek WA380</t>
  </si>
  <si>
    <t>Wirring Harness Working Lamp Truck Double</t>
  </si>
  <si>
    <t>Wirring Harness Converter 2 Mtr</t>
  </si>
  <si>
    <t>Wirring Harness Converter 4 Mtr</t>
  </si>
  <si>
    <t>Wirring Harness Converter 8 Mtr</t>
  </si>
  <si>
    <t>Wirring Harness Treeway Valve</t>
  </si>
  <si>
    <t>19-WL-LED-16-K</t>
  </si>
  <si>
    <t>Working Lamp HID 16 LED Kotak Warna Kuning</t>
  </si>
  <si>
    <t>Working Lamp Halogen 24V 70 Watt</t>
  </si>
  <si>
    <t>19-WL-LED-40W</t>
  </si>
  <si>
    <t>Working Lamp LED 4 Mata 40W</t>
  </si>
  <si>
    <t>19-WL-LED-5-K</t>
  </si>
  <si>
    <t>Working Lamp LED 5 Mata Kuning</t>
  </si>
  <si>
    <t>19-WL-LED-5-P</t>
  </si>
  <si>
    <t>Working Lamp LED 5 Mata Putih</t>
  </si>
  <si>
    <t>19-WL-LED-60W</t>
  </si>
  <si>
    <t>Working Lamp LED 6 Mata 60W</t>
  </si>
  <si>
    <t>19-XALK 178</t>
  </si>
  <si>
    <t>Emergency Shutdown Telemekanik</t>
  </si>
  <si>
    <t>19-XIR-M3688-Uhf-25W</t>
  </si>
  <si>
    <t>Radio Komunikasi Motorola XIR M3688 Uhf 25 Watt</t>
  </si>
  <si>
    <t>19-XIR-M3688-VHF-25W</t>
  </si>
  <si>
    <t>Radio Komunikasi Motorola XIR M3688 VHf 25 Watt</t>
  </si>
  <si>
    <t>19-XIR-M3688-VHF-45W</t>
  </si>
  <si>
    <t>Radio Komunikasi Motorola XIR M3688 VHf 45 Watt</t>
  </si>
  <si>
    <t>19-XIR-M8668I-Uhf-25W</t>
  </si>
  <si>
    <t>Radio Komunikasi Motorola XIR M8668i Uhf 45 Watt</t>
  </si>
  <si>
    <t>19-XIR-M8668-Vhf-45W</t>
  </si>
  <si>
    <t>Radio Komunikasi Motorola XIR M8668i Vhf 45 Watt</t>
  </si>
  <si>
    <t>Total</t>
  </si>
  <si>
    <t>PT. Aldigens Putera Persada</t>
  </si>
  <si>
    <t>Database Persediaan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</si>
</sst>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7" x14ac:knownFonts="1">
    <font>
      <sz val="11"/>
      <color theme="1"/>
      <name val="Aptos Narrow"/>
      <family val="2"/>
      <charset val="1"/>
      <scheme val="minor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1" applyFont="1"/>
    <xf numFmtId="164" fontId="3" fillId="0" borderId="0" xfId="1" applyNumberFormat="1" applyFont="1"/>
    <xf numFmtId="0" fontId="1" fillId="0" borderId="0" xfId="1"/>
    <xf numFmtId="0" fontId="1" fillId="0" borderId="0" xfId="1" applyAlignment="1">
      <alignment horizontal="center"/>
    </xf>
    <xf numFmtId="164" fontId="1" fillId="0" borderId="0" xfId="1" applyNumberFormat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2" fillId="0" borderId="1" xfId="1" applyFont="1" applyBorder="1" applyAlignment="1">
      <alignment horizontal="center"/>
    </xf>
    <xf numFmtId="0" fontId="2" fillId="0" borderId="1" xfId="1" applyFont="1" applyBorder="1"/>
    <xf numFmtId="0" fontId="1" fillId="0" borderId="1" xfId="1" applyBorder="1" applyAlignment="1">
      <alignment horizontal="center"/>
    </xf>
    <xf numFmtId="0" fontId="1" fillId="0" borderId="1" xfId="1" applyBorder="1"/>
    <xf numFmtId="0" fontId="3" fillId="0" borderId="1" xfId="1" applyFont="1" applyBorder="1" applyAlignment="1">
      <alignment horizontal="center"/>
    </xf>
    <xf numFmtId="3" fontId="4" fillId="0" borderId="1" xfId="1" applyNumberFormat="1" applyFont="1" applyBorder="1" applyAlignment="1">
      <alignment horizontal="left" vertical="center"/>
    </xf>
    <xf numFmtId="4" fontId="4" fillId="0" borderId="1" xfId="1" applyNumberFormat="1" applyFont="1" applyBorder="1" applyAlignment="1">
      <alignment horizontal="left" vertical="center"/>
    </xf>
    <xf numFmtId="0" fontId="1" fillId="0" borderId="2" xfId="1" applyBorder="1" applyAlignment="1">
      <alignment horizontal="center"/>
    </xf>
    <xf numFmtId="0" fontId="1" fillId="0" borderId="2" xfId="1" applyBorder="1"/>
    <xf numFmtId="0" fontId="1" fillId="0" borderId="3" xfId="1" applyBorder="1" applyAlignment="1">
      <alignment horizontal="center"/>
    </xf>
    <xf numFmtId="0" fontId="1" fillId="0" borderId="3" xfId="1" applyBorder="1"/>
    <xf numFmtId="0" fontId="5" fillId="0" borderId="1" xfId="0" applyFont="1" applyBorder="1"/>
    <xf numFmtId="0" fontId="1" fillId="2" borderId="1" xfId="1" applyFill="1" applyBorder="1"/>
    <xf numFmtId="3" fontId="4" fillId="0" borderId="2" xfId="1" applyNumberFormat="1" applyFont="1" applyBorder="1" applyAlignment="1">
      <alignment horizontal="left" vertical="center"/>
    </xf>
    <xf numFmtId="4" fontId="4" fillId="0" borderId="2" xfId="1" applyNumberFormat="1" applyFont="1" applyBorder="1" applyAlignment="1">
      <alignment horizontal="left" vertical="center"/>
    </xf>
    <xf numFmtId="0" fontId="1" fillId="0" borderId="1" xfId="1" quotePrefix="1" applyBorder="1"/>
  </cellXfs>
  <cellStyles count="2">
    <cellStyle name="Normal" xfId="0" builtinId="0"/>
    <cellStyle name="Normal 2" xfId="1" xr:uid="{B430FBB3-257A-466C-8A1F-EA8F8DA52EDA}"/>
  </cellStyles>
  <dxfs count="20">
    <dxf>
      <numFmt numFmtId="164" formatCode="_-[$Rp-421]* #,##0_-;\-[$Rp-421]* #,##0_-;_-[$Rp-421]* &quot;-&quot;??_-;_-@_-"/>
    </dxf>
    <dxf>
      <numFmt numFmtId="164" formatCode="_-[$Rp-421]* #,##0_-;\-[$Rp-421]* #,##0_-;_-[$Rp-421]* &quot;-&quot;??_-;_-@_-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numFmt numFmtId="164" formatCode="_-[$Rp-421]* #,##0_-;\-[$Rp-421]* #,##0_-;_-[$Rp-421]* &quot;-&quot;??_-;_-@_-"/>
    </dxf>
    <dxf>
      <numFmt numFmtId="164" formatCode="_-[$Rp-421]* #,##0_-;\-[$Rp-421]* #,##0_-;_-[$Rp-421]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1576A6-0C56-4D8A-9160-26513527D168}" name="Table946" displayName="Table946" ref="A5:L539" totalsRowCount="1" headerRowDxfId="19" headerRowCellStyle="Normal 2" dataCellStyle="Normal 2">
  <autoFilter ref="A5:L538" xr:uid="{2FDA35E1-A5CE-4982-91BA-0CF24B407407}">
    <filterColumn colId="2">
      <filters>
        <filter val="19-003-12"/>
        <filter val="19-16/75907/1"/>
        <filter val="19-1646A/H"/>
        <filter val="19-1723-1"/>
        <filter val="19-206-06-61130"/>
        <filter val="19-2152-P"/>
        <filter val="19-25/8248"/>
        <filter val="19-25550-Z5002"/>
        <filter val="19-3M-BB-40"/>
        <filter val="19-4261A"/>
        <filter val="19-4261-AB"/>
        <filter val="19-4261A-S"/>
        <filter val="19-4261B"/>
        <filter val="19-4361638-CFT"/>
        <filter val="19-56SW110"/>
        <filter val="19-56SW120"/>
        <filter val="19-62200"/>
        <filter val="19-62201"/>
        <filter val="19-62203"/>
        <filter val="19-64151ALS"/>
        <filter val="19-64155"/>
        <filter val="19-64155LTS"/>
        <filter val="19-64156"/>
        <filter val="19-64193"/>
        <filter val="19-64193ALS"/>
        <filter val="19-64210"/>
        <filter val="19-64210ALL"/>
        <filter val="19-64215"/>
        <filter val="19-66021616-NAP"/>
        <filter val="19-66450"/>
        <filter val="19-7980A/E"/>
        <filter val="19-7980B/E"/>
        <filter val="19-9H/9017"/>
        <filter val="19-AD1S-O"/>
        <filter val="19-AD2S-O"/>
        <filter val="19-APR/02"/>
        <filter val="19-APR/03"/>
        <filter val="19-APR/06"/>
        <filter val="19-APR/09"/>
        <filter val="19-APR01"/>
        <filter val="19-BRM-2S/H"/>
        <filter val="19-BRM-2S/V/785"/>
        <filter val="19-BRM-2S/V/BW220"/>
        <filter val="19-BRM-2S/V/D375"/>
        <filter val="19-BRM-2S/V/UDTQ"/>
        <filter val="19-BRM-AP/3"/>
        <filter val="19-BRM-AP/-D155"/>
        <filter val="19-BRM-AP/-D31"/>
        <filter val="19-BRM-AP6/17"/>
        <filter val="19-BRM-AP6/BMG"/>
        <filter val="19-BRM-AP6/D31"/>
        <filter val="19-BRM-AP6/D85"/>
        <filter val="19-BRM-AP6/EXSM"/>
        <filter val="19-BRM-AP6/GD535"/>
        <filter val="19-BRM-AP6/GD755"/>
        <filter val="19-BRM-AP6/GD825"/>
        <filter val="19-BRM-AP6/UDT"/>
        <filter val="19-BRM-AP6-VALE"/>
        <filter val="19-BRM-AP9/D85"/>
        <filter val="19-BRM-AP9/EX1250"/>
        <filter val="19-BRM-AP9/EXSM"/>
        <filter val="19-BRM-AP9-BMG"/>
        <filter val="19-BRM-AP9-GD-535"/>
        <filter val="19-BRM-AP9-GD-825"/>
        <filter val="19-BRM-AP9-VALE"/>
        <filter val="19-BRM-APR6/SCN"/>
        <filter val="19-BRM-APR9/20"/>
        <filter val="19-BRM-BUA-E850"/>
        <filter val="19-BRM-BW-B"/>
        <filter val="19-BRM-BW-TRK"/>
        <filter val="19-BRM-CVR"/>
        <filter val="19-BRM-LIC"/>
        <filter val="19-BRM-LOBS/4SLB"/>
        <filter val="19-BRM-LOBS-3S"/>
        <filter val="19-BRM-LOBS-3S-D375/BW220"/>
        <filter val="19-BRM-LOBS-3S-D65/85"/>
        <filter val="19-BRM-RC-400"/>
        <filter val="19-BRM-SCN-EML"/>
        <filter val="19-BRM-SCN-EMS"/>
        <filter val="19-BRM-STC"/>
        <filter val="19-BRM-STD"/>
        <filter val="19-BRM-ST-GD535"/>
        <filter val="19-BRM-ST-GD755"/>
        <filter val="19-BRM-ST-GD825"/>
        <filter val="19-BRM-ST-HD465"/>
        <filter val="19-BRM-ST-HF785"/>
        <filter val="19-BRM-ST-SCN"/>
        <filter val="19-BRM-ST-UDT"/>
        <filter val="19-BRM-WLP/5M"/>
        <filter val="19-BW-3.6M-O"/>
        <filter val="19-BX-001"/>
        <filter val="19-BX-002"/>
        <filter val="19-CB-10A"/>
        <filter val="19-CB-20A"/>
        <filter val="19-E850"/>
        <filter val="19-EP"/>
        <filter val="19-ESP-66/0"/>
        <filter val="19-FH1000"/>
        <filter val="19-FLOM/VTC"/>
        <filter val="19-FLS-32"/>
        <filter val="19-GPS-T"/>
        <filter val="19-HR-001"/>
        <filter val="19-HR-002"/>
        <filter val="19-HR-003"/>
        <filter val="19-HR-004"/>
        <filter val="19-HR-005"/>
        <filter val="19-HR-006"/>
        <filter val="19-HR-007"/>
        <filter val="19-HR-008"/>
        <filter val="19-HR-009"/>
        <filter val="19-HR-010"/>
        <filter val="19-IC-2300H"/>
        <filter val="19-IC-F6130D"/>
        <filter val="19-IC-V3500H"/>
        <filter val="19--KENW-281A"/>
        <filter val="19-M080024"/>
        <filter val="19-M150-AR"/>
        <filter val="19-M200-AR"/>
        <filter val="19-P3K"/>
        <filter val="19-PJ19-0008"/>
        <filter val="19-R/AM/FM"/>
        <filter val="19-R150CVC"/>
        <filter val="19-SB/03"/>
        <filter val="19-SB/04"/>
        <filter val="19-SB/2"/>
        <filter val="19-SC/70"/>
        <filter val="19-SCJ"/>
        <filter val="19-SG"/>
        <filter val="19-SH/MSA"/>
        <filter val="19-SL-BR/1.5"/>
        <filter val="19-SP"/>
        <filter val="19-SP/KIT"/>
        <filter val="19-STK"/>
        <filter val="19-SV"/>
        <filter val="19-T41-WA60SBF"/>
        <filter val="19-TBS/91"/>
        <filter val="19-TS-1620F"/>
        <filter val="19-WCK/R200"/>
        <filter val="19-WH-BUA-850-UDTQ"/>
        <filter val="19-WH-FW"/>
        <filter val="19-WH-LOBS-4S"/>
        <filter val="19-WH-LOS-2S"/>
        <filter val="19-WH-LOS-2SC"/>
        <filter val="19-WH-LOS-D155"/>
        <filter val="19-WH-LOS-D375"/>
        <filter val="19-WH-LOS-GD755"/>
        <filter val="19-WH-LOS-GD825"/>
        <filter val="19-WH-LOS-HD"/>
        <filter val="19-WH-LOS-HM40"/>
        <filter val="19-WH-LOS-HM400"/>
        <filter val="19-WH-LOS-PC1250"/>
        <filter val="19-WH-LOS-PC200"/>
        <filter val="19-WH-LOS-PC500"/>
        <filter val="19-WH-LOTI-C"/>
        <filter val="19-WH-RVSL"/>
        <filter val="19-WH-ST/LKPP"/>
        <filter val="19-WH-STR"/>
        <filter val="19-WH-STR-D155"/>
        <filter val="19-WH-STR-GD825"/>
        <filter val="19-WH-STR-HD"/>
        <filter val="19-WH-STR-HM400"/>
        <filter val="19-WH-STR-PC"/>
        <filter val="19-WH-TRA/85"/>
        <filter val="19-WH-WL/PC200"/>
        <filter val="19-WH-WLP/UDTQ"/>
        <filter val="19-WL-LED-16-K"/>
        <filter val="19-WL-LED-40W"/>
        <filter val="19-WL-LED-5-K"/>
        <filter val="19-WL-LED-5-P"/>
        <filter val="19-WL-LED-60W"/>
        <filter val="19-XALK 178"/>
        <filter val="19-XIR-M3688-Uhf-25W"/>
        <filter val="19-XIR-M3688-VHF-25W"/>
        <filter val="19-XIR-M3688-VHF-45W"/>
        <filter val="19-XIR-M8668I-Uhf-25W"/>
        <filter val="19-XIR-M8668-Vhf-45W"/>
      </filters>
    </filterColumn>
  </autoFilter>
  <tableColumns count="12">
    <tableColumn id="1" xr3:uid="{28D35524-5BE0-47F3-BABC-C09E482D8A02}" name="No." totalsRowLabel="Total" dataDxfId="18" totalsRowDxfId="17" dataCellStyle="Normal 2">
      <calculatedColumnFormula array="1">ROW()-ROW(Table946[#Headers])</calculatedColumnFormula>
    </tableColumn>
    <tableColumn id="2" xr3:uid="{DF5F2511-1FEC-48C3-968C-42E7FECB68EE}" name="Kategori Barang" totalsRowDxfId="16" dataCellStyle="Normal 2"/>
    <tableColumn id="3" xr3:uid="{44101AED-5578-4981-A11E-4862ACEB81FA}" name="Part Number" totalsRowDxfId="15" dataCellStyle="Normal 2"/>
    <tableColumn id="4" xr3:uid="{B7BB7063-D16A-4B4B-8F18-F1F3190D2B04}" name="Nama Barang" totalsRowDxfId="14" dataCellStyle="Normal 2"/>
    <tableColumn id="5" xr3:uid="{620446C6-182B-4BD7-AEF8-F73C3D11EE8E}" name="Jenis Barang" totalsRowDxfId="13" dataCellStyle="Normal 2"/>
    <tableColumn id="6" xr3:uid="{54C35066-E315-4928-995D-CE5B824E3C56}" name="Satuan" totalsRowDxfId="12" dataCellStyle="Normal 2"/>
    <tableColumn id="7" xr3:uid="{86A8C603-3671-4835-AF96-2A748DE24FD9}" name="Harga Satuan" totalsRowFunction="sum" dataDxfId="11" totalsRowDxfId="10" dataCellStyle="Normal 2"/>
    <tableColumn id="9" xr3:uid="{59014826-71E7-4F29-AD76-618FEC18CE80}" name="Stock Awal" dataDxfId="9" totalsRowDxfId="8" dataCellStyle="Normal 2"/>
    <tableColumn id="8" xr3:uid="{57DE505F-63D6-40AD-9649-660AC5C6BF50}" name="Stock Masuk" dataDxfId="7" totalsRowDxfId="6" dataCellStyle="Normal 2"/>
    <tableColumn id="10" xr3:uid="{F7B2D2A5-2CC3-4067-B395-6F0DEE2C0A5F}" name="Stock Keluar" dataDxfId="5" totalsRowDxfId="4" dataCellStyle="Normal 2"/>
    <tableColumn id="12" xr3:uid="{1450E92B-DC99-4C6E-BD7A-35ED6F2C7B36}" name="Stock Akhir" dataDxfId="3" totalsRowDxfId="2" dataCellStyle="Normal 2"/>
    <tableColumn id="13" xr3:uid="{3F6670E9-1952-4FB2-8DF5-6B49F6843E9E}" name="Total Persediaan" totalsRowFunction="sum" dataDxfId="1" totalsRowDxfId="0" dataCellStyle="Normal 2">
      <calculatedColumnFormula>Table946[[#This Row],[Harga Satuan]]*Table946[[#This Row],[Stock Akhir]]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0DDA-64A3-4363-997B-8BE5654015B4}">
  <dimension ref="A1:L539"/>
  <sheetViews>
    <sheetView tabSelected="1" zoomScaleNormal="100" workbookViewId="0">
      <selection activeCell="K309" sqref="K309"/>
    </sheetView>
  </sheetViews>
  <sheetFormatPr defaultRowHeight="15" x14ac:dyDescent="0.25"/>
  <cols>
    <col min="1" max="1" width="6.28515625" style="5" customWidth="1"/>
    <col min="2" max="2" width="17" style="4" customWidth="1"/>
    <col min="3" max="3" width="27.5703125" style="4" bestFit="1" customWidth="1"/>
    <col min="4" max="4" width="57.7109375" style="4" customWidth="1"/>
    <col min="5" max="5" width="14" style="4" customWidth="1"/>
    <col min="6" max="6" width="9.28515625" style="4" bestFit="1" customWidth="1"/>
    <col min="7" max="7" width="16.28515625" style="6" hidden="1" customWidth="1"/>
    <col min="8" max="8" width="12.85546875" style="5" bestFit="1" customWidth="1"/>
    <col min="9" max="9" width="14.28515625" style="5" bestFit="1" customWidth="1"/>
    <col min="10" max="10" width="16.5703125" style="5" bestFit="1" customWidth="1"/>
    <col min="11" max="11" width="9.140625" style="5"/>
    <col min="12" max="12" width="18.140625" style="4" bestFit="1" customWidth="1"/>
    <col min="13" max="16384" width="9.140625" style="4"/>
  </cols>
  <sheetData>
    <row r="1" spans="1:12" x14ac:dyDescent="0.25">
      <c r="C1" s="12" t="s">
        <v>978</v>
      </c>
    </row>
    <row r="2" spans="1:12" x14ac:dyDescent="0.25">
      <c r="C2" s="12" t="s">
        <v>977</v>
      </c>
    </row>
    <row r="3" spans="1:12" x14ac:dyDescent="0.25">
      <c r="C3" s="12"/>
    </row>
    <row r="5" spans="1:12" x14ac:dyDescent="0.25">
      <c r="A5" s="13" t="s">
        <v>0</v>
      </c>
      <c r="B5" s="14" t="s">
        <v>1</v>
      </c>
      <c r="C5" s="14" t="s">
        <v>2</v>
      </c>
      <c r="D5" s="14" t="s">
        <v>3</v>
      </c>
      <c r="E5" s="14" t="s">
        <v>4</v>
      </c>
      <c r="F5" s="14" t="s">
        <v>5</v>
      </c>
      <c r="G5" s="3" t="s">
        <v>6</v>
      </c>
      <c r="H5" s="17" t="s">
        <v>7</v>
      </c>
      <c r="I5" s="1" t="s">
        <v>8</v>
      </c>
      <c r="J5" s="1" t="s">
        <v>9</v>
      </c>
      <c r="K5" s="1" t="s">
        <v>10</v>
      </c>
      <c r="L5" s="2" t="s">
        <v>11</v>
      </c>
    </row>
    <row r="6" spans="1:12" hidden="1" x14ac:dyDescent="0.25">
      <c r="A6" s="22" cm="1">
        <f t="array" ref="A6">ROW()-ROW(Table946[#Headers])</f>
        <v>1</v>
      </c>
      <c r="B6" s="23" t="s">
        <v>12</v>
      </c>
      <c r="C6" s="23" t="s">
        <v>13</v>
      </c>
      <c r="D6" s="23" t="s">
        <v>14</v>
      </c>
      <c r="E6" s="23" t="s">
        <v>15</v>
      </c>
      <c r="F6" s="23" t="s">
        <v>16</v>
      </c>
      <c r="G6" s="6">
        <v>8000</v>
      </c>
      <c r="H6" s="22"/>
      <c r="L6" s="6">
        <f>Table946[[#This Row],[Harga Satuan]]*Table946[[#This Row],[Stock Akhir]]</f>
        <v>0</v>
      </c>
    </row>
    <row r="7" spans="1:12" hidden="1" x14ac:dyDescent="0.25">
      <c r="A7" s="15" cm="1">
        <f t="array" ref="A7">ROW()-ROW(Table946[#Headers])</f>
        <v>2</v>
      </c>
      <c r="B7" s="16" t="s">
        <v>12</v>
      </c>
      <c r="C7" s="16" t="s">
        <v>17</v>
      </c>
      <c r="D7" s="16" t="s">
        <v>18</v>
      </c>
      <c r="E7" s="16" t="s">
        <v>15</v>
      </c>
      <c r="F7" s="16" t="s">
        <v>19</v>
      </c>
      <c r="G7" s="6">
        <v>1175225</v>
      </c>
      <c r="H7" s="15"/>
      <c r="L7" s="6">
        <f>Table946[[#This Row],[Harga Satuan]]*Table946[[#This Row],[Stock Akhir]]</f>
        <v>0</v>
      </c>
    </row>
    <row r="8" spans="1:12" hidden="1" x14ac:dyDescent="0.25">
      <c r="A8" s="15" cm="1">
        <f t="array" ref="A8">ROW()-ROW(Table946[#Headers])</f>
        <v>3</v>
      </c>
      <c r="B8" s="16" t="s">
        <v>12</v>
      </c>
      <c r="C8" s="16" t="s">
        <v>20</v>
      </c>
      <c r="D8" s="16" t="s">
        <v>21</v>
      </c>
      <c r="E8" s="16" t="s">
        <v>15</v>
      </c>
      <c r="F8" s="16" t="s">
        <v>19</v>
      </c>
      <c r="G8" s="6">
        <v>67567.570000000007</v>
      </c>
      <c r="H8" s="15"/>
      <c r="L8" s="6">
        <f>Table946[[#This Row],[Harga Satuan]]*Table946[[#This Row],[Stock Akhir]]</f>
        <v>0</v>
      </c>
    </row>
    <row r="9" spans="1:12" hidden="1" x14ac:dyDescent="0.25">
      <c r="A9" s="15" cm="1">
        <f t="array" ref="A9">ROW()-ROW(Table946[#Headers])</f>
        <v>4</v>
      </c>
      <c r="B9" s="16" t="s">
        <v>12</v>
      </c>
      <c r="C9" s="16" t="s">
        <v>22</v>
      </c>
      <c r="D9" s="16" t="s">
        <v>23</v>
      </c>
      <c r="E9" s="16" t="s">
        <v>15</v>
      </c>
      <c r="F9" s="16" t="s">
        <v>19</v>
      </c>
      <c r="G9" s="6">
        <v>0</v>
      </c>
      <c r="H9" s="15"/>
      <c r="L9" s="6">
        <f>Table946[[#This Row],[Harga Satuan]]*Table946[[#This Row],[Stock Akhir]]</f>
        <v>0</v>
      </c>
    </row>
    <row r="10" spans="1:12" hidden="1" x14ac:dyDescent="0.25">
      <c r="A10" s="15" cm="1">
        <f t="array" ref="A10">ROW()-ROW(Table946[#Headers])</f>
        <v>5</v>
      </c>
      <c r="B10" s="16" t="s">
        <v>12</v>
      </c>
      <c r="C10" s="16" t="s">
        <v>24</v>
      </c>
      <c r="D10" s="16" t="s">
        <v>25</v>
      </c>
      <c r="E10" s="16" t="s">
        <v>15</v>
      </c>
      <c r="F10" s="16" t="s">
        <v>26</v>
      </c>
      <c r="G10" s="6">
        <v>126126</v>
      </c>
      <c r="H10" s="15"/>
      <c r="L10" s="6">
        <f>Table946[[#This Row],[Harga Satuan]]*Table946[[#This Row],[Stock Akhir]]</f>
        <v>0</v>
      </c>
    </row>
    <row r="11" spans="1:12" hidden="1" x14ac:dyDescent="0.25">
      <c r="A11" s="5" cm="1">
        <f t="array" ref="A11">ROW()-ROW(Table946[#Headers])</f>
        <v>6</v>
      </c>
      <c r="D11" s="4" t="s">
        <v>27</v>
      </c>
      <c r="E11" s="4" t="s">
        <v>15</v>
      </c>
      <c r="F11" s="4" t="s">
        <v>26</v>
      </c>
      <c r="G11" s="6">
        <v>166667</v>
      </c>
      <c r="L11" s="6">
        <f>Table946[[#This Row],[Harga Satuan]]*Table946[[#This Row],[Stock Akhir]]</f>
        <v>0</v>
      </c>
    </row>
    <row r="12" spans="1:12" hidden="1" x14ac:dyDescent="0.25">
      <c r="A12" s="15" cm="1">
        <f t="array" ref="A12">ROW()-ROW(Table946[#Headers])</f>
        <v>7</v>
      </c>
      <c r="B12" s="16" t="s">
        <v>12</v>
      </c>
      <c r="C12" s="16" t="s">
        <v>28</v>
      </c>
      <c r="D12" s="16" t="s">
        <v>29</v>
      </c>
      <c r="E12" s="16" t="s">
        <v>15</v>
      </c>
      <c r="F12" s="16" t="s">
        <v>30</v>
      </c>
      <c r="G12" s="6">
        <v>0</v>
      </c>
      <c r="H12" s="15"/>
      <c r="L12" s="6">
        <f>Table946[[#This Row],[Harga Satuan]]*Table946[[#This Row],[Stock Akhir]]</f>
        <v>0</v>
      </c>
    </row>
    <row r="13" spans="1:12" hidden="1" x14ac:dyDescent="0.25">
      <c r="A13" s="15" cm="1">
        <f t="array" ref="A13">ROW()-ROW(Table946[#Headers])</f>
        <v>8</v>
      </c>
      <c r="B13" s="16" t="s">
        <v>12</v>
      </c>
      <c r="C13" s="16" t="s">
        <v>31</v>
      </c>
      <c r="D13" s="16" t="s">
        <v>32</v>
      </c>
      <c r="E13" s="16" t="s">
        <v>15</v>
      </c>
      <c r="F13" s="16" t="s">
        <v>19</v>
      </c>
      <c r="G13" s="6">
        <v>0</v>
      </c>
      <c r="H13" s="15"/>
      <c r="L13" s="6">
        <f>Table946[[#This Row],[Harga Satuan]]*Table946[[#This Row],[Stock Akhir]]</f>
        <v>0</v>
      </c>
    </row>
    <row r="14" spans="1:12" hidden="1" x14ac:dyDescent="0.25">
      <c r="A14" s="15" cm="1">
        <f t="array" ref="A14">ROW()-ROW(Table946[#Headers])</f>
        <v>9</v>
      </c>
      <c r="B14" s="16" t="s">
        <v>12</v>
      </c>
      <c r="C14" s="16" t="s">
        <v>33</v>
      </c>
      <c r="D14" s="16" t="s">
        <v>34</v>
      </c>
      <c r="E14" s="16" t="s">
        <v>15</v>
      </c>
      <c r="F14" s="16" t="s">
        <v>19</v>
      </c>
      <c r="G14" s="6">
        <v>0</v>
      </c>
      <c r="H14" s="15"/>
      <c r="L14" s="6">
        <f>Table946[[#This Row],[Harga Satuan]]*Table946[[#This Row],[Stock Akhir]]</f>
        <v>0</v>
      </c>
    </row>
    <row r="15" spans="1:12" hidden="1" x14ac:dyDescent="0.25">
      <c r="A15" s="15" cm="1">
        <f t="array" ref="A15">ROW()-ROW(Table946[#Headers])</f>
        <v>10</v>
      </c>
      <c r="B15" s="16" t="s">
        <v>12</v>
      </c>
      <c r="C15" s="16" t="s">
        <v>35</v>
      </c>
      <c r="D15" s="16" t="s">
        <v>36</v>
      </c>
      <c r="E15" s="16" t="s">
        <v>15</v>
      </c>
      <c r="F15" s="16" t="s">
        <v>26</v>
      </c>
      <c r="G15" s="6">
        <v>0</v>
      </c>
      <c r="H15" s="15"/>
      <c r="L15" s="6">
        <f>Table946[[#This Row],[Harga Satuan]]*Table946[[#This Row],[Stock Akhir]]</f>
        <v>0</v>
      </c>
    </row>
    <row r="16" spans="1:12" hidden="1" x14ac:dyDescent="0.25">
      <c r="A16" s="15" cm="1">
        <f t="array" ref="A16">ROW()-ROW(Table946[#Headers])</f>
        <v>11</v>
      </c>
      <c r="B16" s="16" t="s">
        <v>12</v>
      </c>
      <c r="C16" s="16" t="s">
        <v>37</v>
      </c>
      <c r="D16" s="16" t="s">
        <v>38</v>
      </c>
      <c r="E16" s="16" t="s">
        <v>15</v>
      </c>
      <c r="F16" s="16" t="s">
        <v>19</v>
      </c>
      <c r="G16" s="6">
        <v>0</v>
      </c>
      <c r="H16" s="15"/>
      <c r="L16" s="6">
        <f>Table946[[#This Row],[Harga Satuan]]*Table946[[#This Row],[Stock Akhir]]</f>
        <v>0</v>
      </c>
    </row>
    <row r="17" spans="1:12" hidden="1" x14ac:dyDescent="0.25">
      <c r="A17" s="15" cm="1">
        <f t="array" ref="A17">ROW()-ROW(Table946[#Headers])</f>
        <v>12</v>
      </c>
      <c r="B17" s="16" t="s">
        <v>12</v>
      </c>
      <c r="C17" s="16" t="s">
        <v>39</v>
      </c>
      <c r="D17" s="16" t="s">
        <v>40</v>
      </c>
      <c r="E17" s="16" t="s">
        <v>15</v>
      </c>
      <c r="F17" s="16" t="s">
        <v>19</v>
      </c>
      <c r="G17" s="6">
        <v>0</v>
      </c>
      <c r="H17" s="15"/>
      <c r="L17" s="6">
        <f>Table946[[#This Row],[Harga Satuan]]*Table946[[#This Row],[Stock Akhir]]</f>
        <v>0</v>
      </c>
    </row>
    <row r="18" spans="1:12" hidden="1" x14ac:dyDescent="0.25">
      <c r="A18" s="15" cm="1">
        <f t="array" ref="A18">ROW()-ROW(Table946[#Headers])</f>
        <v>13</v>
      </c>
      <c r="B18" s="16" t="s">
        <v>12</v>
      </c>
      <c r="C18" s="16" t="s">
        <v>41</v>
      </c>
      <c r="D18" s="16" t="s">
        <v>42</v>
      </c>
      <c r="E18" s="16" t="s">
        <v>15</v>
      </c>
      <c r="F18" s="16" t="s">
        <v>19</v>
      </c>
      <c r="G18" s="6">
        <v>0</v>
      </c>
      <c r="H18" s="15"/>
      <c r="L18" s="6">
        <f>Table946[[#This Row],[Harga Satuan]]*Table946[[#This Row],[Stock Akhir]]</f>
        <v>0</v>
      </c>
    </row>
    <row r="19" spans="1:12" hidden="1" x14ac:dyDescent="0.25">
      <c r="A19" s="15" cm="1">
        <f t="array" ref="A19">ROW()-ROW(Table946[#Headers])</f>
        <v>14</v>
      </c>
      <c r="B19" s="16" t="s">
        <v>12</v>
      </c>
      <c r="C19" s="16" t="s">
        <v>43</v>
      </c>
      <c r="D19" s="16" t="s">
        <v>44</v>
      </c>
      <c r="E19" s="16" t="s">
        <v>15</v>
      </c>
      <c r="F19" s="16" t="s">
        <v>19</v>
      </c>
      <c r="G19" s="6">
        <v>0</v>
      </c>
      <c r="H19" s="15"/>
      <c r="L19" s="6">
        <f>Table946[[#This Row],[Harga Satuan]]*Table946[[#This Row],[Stock Akhir]]</f>
        <v>0</v>
      </c>
    </row>
    <row r="20" spans="1:12" hidden="1" x14ac:dyDescent="0.25">
      <c r="A20" s="15" cm="1">
        <f t="array" ref="A20">ROW()-ROW(Table946[#Headers])</f>
        <v>15</v>
      </c>
      <c r="B20" s="16" t="s">
        <v>12</v>
      </c>
      <c r="C20" s="16" t="s">
        <v>45</v>
      </c>
      <c r="D20" s="16" t="s">
        <v>46</v>
      </c>
      <c r="E20" s="16" t="s">
        <v>15</v>
      </c>
      <c r="F20" s="16" t="s">
        <v>19</v>
      </c>
      <c r="G20" s="6">
        <v>0</v>
      </c>
      <c r="H20" s="15"/>
      <c r="L20" s="6">
        <f>Table946[[#This Row],[Harga Satuan]]*Table946[[#This Row],[Stock Akhir]]</f>
        <v>0</v>
      </c>
    </row>
    <row r="21" spans="1:12" hidden="1" x14ac:dyDescent="0.25">
      <c r="A21" s="15" cm="1">
        <f t="array" ref="A21">ROW()-ROW(Table946[#Headers])</f>
        <v>16</v>
      </c>
      <c r="B21" s="16" t="s">
        <v>12</v>
      </c>
      <c r="C21" s="16" t="s">
        <v>47</v>
      </c>
      <c r="D21" s="16" t="s">
        <v>48</v>
      </c>
      <c r="E21" s="16" t="s">
        <v>15</v>
      </c>
      <c r="F21" s="16" t="s">
        <v>19</v>
      </c>
      <c r="G21" s="6">
        <v>80000</v>
      </c>
      <c r="H21" s="15"/>
      <c r="L21" s="6">
        <f>Table946[[#This Row],[Harga Satuan]]*Table946[[#This Row],[Stock Akhir]]</f>
        <v>0</v>
      </c>
    </row>
    <row r="22" spans="1:12" hidden="1" x14ac:dyDescent="0.25">
      <c r="A22" s="15" cm="1">
        <f t="array" ref="A22">ROW()-ROW(Table946[#Headers])</f>
        <v>17</v>
      </c>
      <c r="B22" s="16" t="s">
        <v>12</v>
      </c>
      <c r="C22" s="16" t="s">
        <v>49</v>
      </c>
      <c r="D22" s="16" t="s">
        <v>50</v>
      </c>
      <c r="E22" s="16" t="s">
        <v>15</v>
      </c>
      <c r="F22" s="16" t="s">
        <v>19</v>
      </c>
      <c r="G22" s="6">
        <v>167000</v>
      </c>
      <c r="H22" s="15"/>
      <c r="L22" s="6">
        <f>Table946[[#This Row],[Harga Satuan]]*Table946[[#This Row],[Stock Akhir]]</f>
        <v>0</v>
      </c>
    </row>
    <row r="23" spans="1:12" hidden="1" x14ac:dyDescent="0.25">
      <c r="A23" s="15" cm="1">
        <f t="array" ref="A23">ROW()-ROW(Table946[#Headers])</f>
        <v>18</v>
      </c>
      <c r="B23" s="16" t="s">
        <v>12</v>
      </c>
      <c r="C23" s="16" t="s">
        <v>51</v>
      </c>
      <c r="D23" s="16" t="s">
        <v>52</v>
      </c>
      <c r="E23" s="16" t="s">
        <v>15</v>
      </c>
      <c r="F23" s="16" t="s">
        <v>19</v>
      </c>
      <c r="G23" s="6">
        <v>0</v>
      </c>
      <c r="H23" s="15"/>
      <c r="L23" s="6">
        <f>Table946[[#This Row],[Harga Satuan]]*Table946[[#This Row],[Stock Akhir]]</f>
        <v>0</v>
      </c>
    </row>
    <row r="24" spans="1:12" hidden="1" x14ac:dyDescent="0.25">
      <c r="A24" s="15" cm="1">
        <f t="array" ref="A24">ROW()-ROW(Table946[#Headers])</f>
        <v>19</v>
      </c>
      <c r="B24" s="16" t="s">
        <v>12</v>
      </c>
      <c r="C24" s="16" t="s">
        <v>53</v>
      </c>
      <c r="D24" s="16" t="s">
        <v>54</v>
      </c>
      <c r="E24" s="16" t="s">
        <v>15</v>
      </c>
      <c r="F24" s="16" t="s">
        <v>19</v>
      </c>
      <c r="G24" s="6">
        <v>0</v>
      </c>
      <c r="H24" s="15"/>
      <c r="L24" s="6">
        <f>Table946[[#This Row],[Harga Satuan]]*Table946[[#This Row],[Stock Akhir]]</f>
        <v>0</v>
      </c>
    </row>
    <row r="25" spans="1:12" hidden="1" x14ac:dyDescent="0.25">
      <c r="A25" s="15" cm="1">
        <f t="array" ref="A25">ROW()-ROW(Table946[#Headers])</f>
        <v>20</v>
      </c>
      <c r="B25" s="16" t="s">
        <v>12</v>
      </c>
      <c r="C25" s="16" t="s">
        <v>55</v>
      </c>
      <c r="D25" s="16" t="s">
        <v>56</v>
      </c>
      <c r="E25" s="16" t="s">
        <v>15</v>
      </c>
      <c r="F25" s="16" t="s">
        <v>19</v>
      </c>
      <c r="G25" s="6">
        <v>0</v>
      </c>
      <c r="H25" s="15"/>
      <c r="L25" s="6">
        <f>Table946[[#This Row],[Harga Satuan]]*Table946[[#This Row],[Stock Akhir]]</f>
        <v>0</v>
      </c>
    </row>
    <row r="26" spans="1:12" hidden="1" x14ac:dyDescent="0.25">
      <c r="A26" s="15" cm="1">
        <f t="array" ref="A26">ROW()-ROW(Table946[#Headers])</f>
        <v>21</v>
      </c>
      <c r="B26" s="16" t="s">
        <v>12</v>
      </c>
      <c r="C26" s="16" t="s">
        <v>57</v>
      </c>
      <c r="D26" s="16" t="s">
        <v>58</v>
      </c>
      <c r="E26" s="16" t="s">
        <v>15</v>
      </c>
      <c r="F26" s="16" t="s">
        <v>19</v>
      </c>
      <c r="G26" s="6">
        <v>0</v>
      </c>
      <c r="H26" s="15"/>
      <c r="L26" s="6">
        <f>Table946[[#This Row],[Harga Satuan]]*Table946[[#This Row],[Stock Akhir]]</f>
        <v>0</v>
      </c>
    </row>
    <row r="27" spans="1:12" hidden="1" x14ac:dyDescent="0.25">
      <c r="A27" s="15" cm="1">
        <f t="array" ref="A27">ROW()-ROW(Table946[#Headers])</f>
        <v>22</v>
      </c>
      <c r="B27" s="16" t="s">
        <v>12</v>
      </c>
      <c r="C27" s="16" t="s">
        <v>59</v>
      </c>
      <c r="D27" s="16" t="s">
        <v>60</v>
      </c>
      <c r="E27" s="16" t="s">
        <v>15</v>
      </c>
      <c r="F27" s="16" t="s">
        <v>19</v>
      </c>
      <c r="G27" s="6">
        <v>0</v>
      </c>
      <c r="H27" s="15"/>
      <c r="L27" s="6">
        <f>Table946[[#This Row],[Harga Satuan]]*Table946[[#This Row],[Stock Akhir]]</f>
        <v>0</v>
      </c>
    </row>
    <row r="28" spans="1:12" hidden="1" x14ac:dyDescent="0.25">
      <c r="A28" s="15" cm="1">
        <f t="array" ref="A28">ROW()-ROW(Table946[#Headers])</f>
        <v>23</v>
      </c>
      <c r="B28" s="16" t="s">
        <v>12</v>
      </c>
      <c r="C28" s="16" t="s">
        <v>61</v>
      </c>
      <c r="D28" s="16" t="s">
        <v>62</v>
      </c>
      <c r="E28" s="16" t="s">
        <v>15</v>
      </c>
      <c r="F28" s="16" t="s">
        <v>19</v>
      </c>
      <c r="G28" s="6">
        <v>0</v>
      </c>
      <c r="H28" s="15"/>
      <c r="L28" s="6">
        <f>Table946[[#This Row],[Harga Satuan]]*Table946[[#This Row],[Stock Akhir]]</f>
        <v>0</v>
      </c>
    </row>
    <row r="29" spans="1:12" hidden="1" x14ac:dyDescent="0.25">
      <c r="A29" s="15" cm="1">
        <f t="array" ref="A29">ROW()-ROW(Table946[#Headers])</f>
        <v>24</v>
      </c>
      <c r="B29" s="16" t="s">
        <v>12</v>
      </c>
      <c r="C29" s="16" t="s">
        <v>63</v>
      </c>
      <c r="D29" s="16" t="s">
        <v>64</v>
      </c>
      <c r="E29" s="16" t="s">
        <v>15</v>
      </c>
      <c r="F29" s="16" t="s">
        <v>19</v>
      </c>
      <c r="G29" s="6">
        <v>0</v>
      </c>
      <c r="H29" s="15"/>
      <c r="L29" s="6">
        <f>Table946[[#This Row],[Harga Satuan]]*Table946[[#This Row],[Stock Akhir]]</f>
        <v>0</v>
      </c>
    </row>
    <row r="30" spans="1:12" hidden="1" x14ac:dyDescent="0.25">
      <c r="A30" s="15" cm="1">
        <f t="array" ref="A30">ROW()-ROW(Table946[#Headers])</f>
        <v>25</v>
      </c>
      <c r="B30" s="16" t="s">
        <v>12</v>
      </c>
      <c r="C30" s="16" t="s">
        <v>65</v>
      </c>
      <c r="D30" s="16" t="s">
        <v>66</v>
      </c>
      <c r="E30" s="16" t="s">
        <v>15</v>
      </c>
      <c r="F30" s="16" t="s">
        <v>19</v>
      </c>
      <c r="G30" s="6">
        <v>0</v>
      </c>
      <c r="H30" s="15"/>
      <c r="L30" s="6">
        <f>Table946[[#This Row],[Harga Satuan]]*Table946[[#This Row],[Stock Akhir]]</f>
        <v>0</v>
      </c>
    </row>
    <row r="31" spans="1:12" hidden="1" x14ac:dyDescent="0.25">
      <c r="A31" s="15" cm="1">
        <f t="array" ref="A31">ROW()-ROW(Table946[#Headers])</f>
        <v>26</v>
      </c>
      <c r="B31" s="16" t="s">
        <v>12</v>
      </c>
      <c r="C31" s="16" t="s">
        <v>67</v>
      </c>
      <c r="D31" s="16" t="s">
        <v>68</v>
      </c>
      <c r="E31" s="16" t="s">
        <v>15</v>
      </c>
      <c r="F31" s="16" t="s">
        <v>19</v>
      </c>
      <c r="G31" s="6">
        <v>0</v>
      </c>
      <c r="H31" s="15"/>
      <c r="L31" s="6">
        <f>Table946[[#This Row],[Harga Satuan]]*Table946[[#This Row],[Stock Akhir]]</f>
        <v>0</v>
      </c>
    </row>
    <row r="32" spans="1:12" hidden="1" x14ac:dyDescent="0.25">
      <c r="A32" s="15" cm="1">
        <f t="array" ref="A32">ROW()-ROW(Table946[#Headers])</f>
        <v>27</v>
      </c>
      <c r="B32" s="16" t="s">
        <v>12</v>
      </c>
      <c r="C32" s="16" t="s">
        <v>69</v>
      </c>
      <c r="D32" s="16" t="s">
        <v>70</v>
      </c>
      <c r="E32" s="16" t="s">
        <v>15</v>
      </c>
      <c r="F32" s="16" t="s">
        <v>19</v>
      </c>
      <c r="G32" s="6">
        <v>0</v>
      </c>
      <c r="H32" s="15"/>
      <c r="L32" s="6">
        <f>Table946[[#This Row],[Harga Satuan]]*Table946[[#This Row],[Stock Akhir]]</f>
        <v>0</v>
      </c>
    </row>
    <row r="33" spans="1:12" hidden="1" x14ac:dyDescent="0.25">
      <c r="A33" s="15" cm="1">
        <f t="array" ref="A33">ROW()-ROW(Table946[#Headers])</f>
        <v>28</v>
      </c>
      <c r="B33" s="16" t="s">
        <v>12</v>
      </c>
      <c r="C33" s="16" t="s">
        <v>71</v>
      </c>
      <c r="D33" s="16" t="s">
        <v>72</v>
      </c>
      <c r="E33" s="16" t="s">
        <v>15</v>
      </c>
      <c r="F33" s="16" t="s">
        <v>19</v>
      </c>
      <c r="G33" s="6">
        <v>0</v>
      </c>
      <c r="H33" s="15"/>
      <c r="L33" s="6">
        <f>Table946[[#This Row],[Harga Satuan]]*Table946[[#This Row],[Stock Akhir]]</f>
        <v>0</v>
      </c>
    </row>
    <row r="34" spans="1:12" hidden="1" x14ac:dyDescent="0.25">
      <c r="A34" s="15" cm="1">
        <f t="array" ref="A34">ROW()-ROW(Table946[#Headers])</f>
        <v>29</v>
      </c>
      <c r="B34" s="16" t="s">
        <v>12</v>
      </c>
      <c r="C34" s="16" t="s">
        <v>73</v>
      </c>
      <c r="D34" s="16" t="s">
        <v>74</v>
      </c>
      <c r="E34" s="16" t="s">
        <v>15</v>
      </c>
      <c r="F34" s="16" t="s">
        <v>19</v>
      </c>
      <c r="G34" s="6">
        <v>0</v>
      </c>
      <c r="H34" s="15"/>
      <c r="L34" s="6">
        <f>Table946[[#This Row],[Harga Satuan]]*Table946[[#This Row],[Stock Akhir]]</f>
        <v>0</v>
      </c>
    </row>
    <row r="35" spans="1:12" hidden="1" x14ac:dyDescent="0.25">
      <c r="A35" s="15" cm="1">
        <f t="array" ref="A35">ROW()-ROW(Table946[#Headers])</f>
        <v>30</v>
      </c>
      <c r="B35" s="16" t="s">
        <v>12</v>
      </c>
      <c r="C35" s="16" t="s">
        <v>75</v>
      </c>
      <c r="D35" s="16" t="s">
        <v>76</v>
      </c>
      <c r="E35" s="16" t="s">
        <v>15</v>
      </c>
      <c r="F35" s="16" t="s">
        <v>19</v>
      </c>
      <c r="G35" s="6">
        <v>0</v>
      </c>
      <c r="H35" s="15"/>
      <c r="L35" s="6">
        <f>Table946[[#This Row],[Harga Satuan]]*Table946[[#This Row],[Stock Akhir]]</f>
        <v>0</v>
      </c>
    </row>
    <row r="36" spans="1:12" hidden="1" x14ac:dyDescent="0.25">
      <c r="A36" s="15" cm="1">
        <f t="array" ref="A36">ROW()-ROW(Table946[#Headers])</f>
        <v>31</v>
      </c>
      <c r="B36" s="16" t="s">
        <v>12</v>
      </c>
      <c r="C36" s="16" t="s">
        <v>77</v>
      </c>
      <c r="D36" s="16" t="s">
        <v>78</v>
      </c>
      <c r="E36" s="16" t="s">
        <v>15</v>
      </c>
      <c r="F36" s="16" t="s">
        <v>19</v>
      </c>
      <c r="G36" s="6">
        <v>0</v>
      </c>
      <c r="H36" s="15"/>
      <c r="L36" s="6">
        <f>Table946[[#This Row],[Harga Satuan]]*Table946[[#This Row],[Stock Akhir]]</f>
        <v>0</v>
      </c>
    </row>
    <row r="37" spans="1:12" hidden="1" x14ac:dyDescent="0.25">
      <c r="A37" s="15" cm="1">
        <f t="array" ref="A37">ROW()-ROW(Table946[#Headers])</f>
        <v>32</v>
      </c>
      <c r="B37" s="16" t="s">
        <v>12</v>
      </c>
      <c r="C37" s="16" t="s">
        <v>79</v>
      </c>
      <c r="D37" s="16" t="s">
        <v>80</v>
      </c>
      <c r="E37" s="16" t="s">
        <v>15</v>
      </c>
      <c r="F37" s="16" t="s">
        <v>26</v>
      </c>
      <c r="G37" s="6">
        <v>0</v>
      </c>
      <c r="H37" s="15"/>
      <c r="L37" s="6">
        <f>Table946[[#This Row],[Harga Satuan]]*Table946[[#This Row],[Stock Akhir]]</f>
        <v>0</v>
      </c>
    </row>
    <row r="38" spans="1:12" hidden="1" x14ac:dyDescent="0.25">
      <c r="A38" s="15" cm="1">
        <f t="array" ref="A38">ROW()-ROW(Table946[#Headers])</f>
        <v>33</v>
      </c>
      <c r="B38" s="16" t="s">
        <v>12</v>
      </c>
      <c r="C38" s="16" t="s">
        <v>81</v>
      </c>
      <c r="D38" s="16" t="s">
        <v>82</v>
      </c>
      <c r="E38" s="16" t="s">
        <v>15</v>
      </c>
      <c r="F38" s="16" t="s">
        <v>19</v>
      </c>
      <c r="G38" s="6">
        <v>0</v>
      </c>
      <c r="H38" s="15"/>
      <c r="L38" s="6">
        <f>Table946[[#This Row],[Harga Satuan]]*Table946[[#This Row],[Stock Akhir]]</f>
        <v>0</v>
      </c>
    </row>
    <row r="39" spans="1:12" hidden="1" x14ac:dyDescent="0.25">
      <c r="A39" s="15" cm="1">
        <f t="array" ref="A39">ROW()-ROW(Table946[#Headers])</f>
        <v>34</v>
      </c>
      <c r="B39" s="16" t="s">
        <v>12</v>
      </c>
      <c r="C39" s="16" t="s">
        <v>83</v>
      </c>
      <c r="D39" s="16" t="s">
        <v>84</v>
      </c>
      <c r="E39" s="16" t="s">
        <v>15</v>
      </c>
      <c r="F39" s="16" t="s">
        <v>19</v>
      </c>
      <c r="G39" s="6">
        <v>0</v>
      </c>
      <c r="H39" s="15"/>
      <c r="L39" s="6">
        <f>Table946[[#This Row],[Harga Satuan]]*Table946[[#This Row],[Stock Akhir]]</f>
        <v>0</v>
      </c>
    </row>
    <row r="40" spans="1:12" hidden="1" x14ac:dyDescent="0.25">
      <c r="A40" s="15" cm="1">
        <f t="array" ref="A40">ROW()-ROW(Table946[#Headers])</f>
        <v>35</v>
      </c>
      <c r="B40" s="16" t="s">
        <v>12</v>
      </c>
      <c r="C40" s="16" t="s">
        <v>85</v>
      </c>
      <c r="D40" s="16" t="s">
        <v>86</v>
      </c>
      <c r="E40" s="16" t="s">
        <v>15</v>
      </c>
      <c r="F40" s="16" t="s">
        <v>19</v>
      </c>
      <c r="G40" s="6">
        <v>0</v>
      </c>
      <c r="H40" s="15"/>
      <c r="L40" s="6">
        <f>Table946[[#This Row],[Harga Satuan]]*Table946[[#This Row],[Stock Akhir]]</f>
        <v>0</v>
      </c>
    </row>
    <row r="41" spans="1:12" hidden="1" x14ac:dyDescent="0.25">
      <c r="A41" s="15" cm="1">
        <f t="array" ref="A41">ROW()-ROW(Table946[#Headers])</f>
        <v>36</v>
      </c>
      <c r="B41" s="16" t="s">
        <v>12</v>
      </c>
      <c r="C41" s="16" t="s">
        <v>87</v>
      </c>
      <c r="D41" s="16" t="s">
        <v>88</v>
      </c>
      <c r="E41" s="16" t="s">
        <v>15</v>
      </c>
      <c r="F41" s="16" t="s">
        <v>19</v>
      </c>
      <c r="G41" s="6">
        <v>0</v>
      </c>
      <c r="H41" s="15"/>
      <c r="L41" s="6">
        <f>Table946[[#This Row],[Harga Satuan]]*Table946[[#This Row],[Stock Akhir]]</f>
        <v>0</v>
      </c>
    </row>
    <row r="42" spans="1:12" hidden="1" x14ac:dyDescent="0.25">
      <c r="A42" s="15" cm="1">
        <f t="array" ref="A42">ROW()-ROW(Table946[#Headers])</f>
        <v>37</v>
      </c>
      <c r="B42" s="16" t="s">
        <v>12</v>
      </c>
      <c r="C42" s="16" t="s">
        <v>89</v>
      </c>
      <c r="D42" s="16" t="s">
        <v>90</v>
      </c>
      <c r="E42" s="16" t="s">
        <v>15</v>
      </c>
      <c r="F42" s="16" t="s">
        <v>19</v>
      </c>
      <c r="G42" s="6">
        <v>0</v>
      </c>
      <c r="H42" s="15"/>
      <c r="L42" s="6">
        <f>Table946[[#This Row],[Harga Satuan]]*Table946[[#This Row],[Stock Akhir]]</f>
        <v>0</v>
      </c>
    </row>
    <row r="43" spans="1:12" hidden="1" x14ac:dyDescent="0.25">
      <c r="A43" s="15" cm="1">
        <f t="array" ref="A43">ROW()-ROW(Table946[#Headers])</f>
        <v>38</v>
      </c>
      <c r="B43" s="16" t="s">
        <v>12</v>
      </c>
      <c r="C43" s="16" t="s">
        <v>91</v>
      </c>
      <c r="D43" s="16" t="s">
        <v>92</v>
      </c>
      <c r="E43" s="16" t="s">
        <v>15</v>
      </c>
      <c r="F43" s="16" t="s">
        <v>19</v>
      </c>
      <c r="G43" s="6">
        <v>0</v>
      </c>
      <c r="H43" s="15"/>
      <c r="L43" s="6">
        <f>Table946[[#This Row],[Harga Satuan]]*Table946[[#This Row],[Stock Akhir]]</f>
        <v>0</v>
      </c>
    </row>
    <row r="44" spans="1:12" hidden="1" x14ac:dyDescent="0.25">
      <c r="A44" s="15" cm="1">
        <f t="array" ref="A44">ROW()-ROW(Table946[#Headers])</f>
        <v>39</v>
      </c>
      <c r="B44" s="16" t="s">
        <v>12</v>
      </c>
      <c r="C44" s="16" t="s">
        <v>93</v>
      </c>
      <c r="D44" s="16" t="s">
        <v>94</v>
      </c>
      <c r="E44" s="16" t="s">
        <v>15</v>
      </c>
      <c r="F44" s="16" t="s">
        <v>19</v>
      </c>
      <c r="G44" s="6">
        <v>0</v>
      </c>
      <c r="H44" s="15"/>
      <c r="L44" s="6">
        <f>Table946[[#This Row],[Harga Satuan]]*Table946[[#This Row],[Stock Akhir]]</f>
        <v>0</v>
      </c>
    </row>
    <row r="45" spans="1:12" hidden="1" x14ac:dyDescent="0.25">
      <c r="A45" s="15" cm="1">
        <f t="array" ref="A45">ROW()-ROW(Table946[#Headers])</f>
        <v>40</v>
      </c>
      <c r="B45" s="16" t="s">
        <v>12</v>
      </c>
      <c r="C45" s="16" t="s">
        <v>95</v>
      </c>
      <c r="D45" s="16" t="s">
        <v>96</v>
      </c>
      <c r="E45" s="16" t="s">
        <v>15</v>
      </c>
      <c r="F45" s="16" t="s">
        <v>19</v>
      </c>
      <c r="G45" s="6">
        <v>165000</v>
      </c>
      <c r="H45" s="15"/>
      <c r="L45" s="6">
        <f>Table946[[#This Row],[Harga Satuan]]*Table946[[#This Row],[Stock Akhir]]</f>
        <v>0</v>
      </c>
    </row>
    <row r="46" spans="1:12" hidden="1" x14ac:dyDescent="0.25">
      <c r="A46" s="15" cm="1">
        <f t="array" ref="A46">ROW()-ROW(Table946[#Headers])</f>
        <v>41</v>
      </c>
      <c r="B46" s="16" t="s">
        <v>12</v>
      </c>
      <c r="C46" s="16" t="s">
        <v>97</v>
      </c>
      <c r="D46" s="16" t="s">
        <v>98</v>
      </c>
      <c r="E46" s="16" t="s">
        <v>15</v>
      </c>
      <c r="F46" s="16" t="s">
        <v>19</v>
      </c>
      <c r="G46" s="6">
        <v>0</v>
      </c>
      <c r="H46" s="15"/>
      <c r="L46" s="6">
        <f>Table946[[#This Row],[Harga Satuan]]*Table946[[#This Row],[Stock Akhir]]</f>
        <v>0</v>
      </c>
    </row>
    <row r="47" spans="1:12" hidden="1" x14ac:dyDescent="0.25">
      <c r="A47" s="5" cm="1">
        <f t="array" ref="A47">ROW()-ROW(Table946[#Headers])</f>
        <v>42</v>
      </c>
      <c r="B47" s="4" t="s">
        <v>12</v>
      </c>
      <c r="D47" s="4" t="s">
        <v>99</v>
      </c>
      <c r="E47" s="4" t="s">
        <v>15</v>
      </c>
      <c r="F47" s="4" t="s">
        <v>19</v>
      </c>
      <c r="G47" s="6">
        <v>72072</v>
      </c>
      <c r="L47" s="6">
        <f>Table946[[#This Row],[Harga Satuan]]*Table946[[#This Row],[Stock Akhir]]</f>
        <v>0</v>
      </c>
    </row>
    <row r="48" spans="1:12" hidden="1" x14ac:dyDescent="0.25">
      <c r="A48" s="15" cm="1">
        <f t="array" ref="A48">ROW()-ROW(Table946[#Headers])</f>
        <v>43</v>
      </c>
      <c r="B48" s="16" t="s">
        <v>12</v>
      </c>
      <c r="C48" s="16" t="s">
        <v>100</v>
      </c>
      <c r="D48" s="16" t="s">
        <v>101</v>
      </c>
      <c r="E48" s="16" t="s">
        <v>15</v>
      </c>
      <c r="F48" s="16" t="s">
        <v>30</v>
      </c>
      <c r="G48" s="6">
        <v>0</v>
      </c>
      <c r="H48" s="15"/>
      <c r="L48" s="6">
        <f>Table946[[#This Row],[Harga Satuan]]*Table946[[#This Row],[Stock Akhir]]</f>
        <v>0</v>
      </c>
    </row>
    <row r="49" spans="1:12" hidden="1" x14ac:dyDescent="0.25">
      <c r="A49" s="15" cm="1">
        <f t="array" ref="A49">ROW()-ROW(Table946[#Headers])</f>
        <v>44</v>
      </c>
      <c r="B49" s="16" t="s">
        <v>12</v>
      </c>
      <c r="C49" s="16" t="s">
        <v>102</v>
      </c>
      <c r="D49" s="16" t="s">
        <v>103</v>
      </c>
      <c r="E49" s="16" t="s">
        <v>15</v>
      </c>
      <c r="F49" s="16" t="s">
        <v>30</v>
      </c>
      <c r="G49" s="6">
        <v>0</v>
      </c>
      <c r="H49" s="15"/>
      <c r="L49" s="6">
        <f>Table946[[#This Row],[Harga Satuan]]*Table946[[#This Row],[Stock Akhir]]</f>
        <v>0</v>
      </c>
    </row>
    <row r="50" spans="1:12" hidden="1" x14ac:dyDescent="0.25">
      <c r="A50" s="15" cm="1">
        <f t="array" ref="A50">ROW()-ROW(Table946[#Headers])</f>
        <v>45</v>
      </c>
      <c r="B50" s="16" t="s">
        <v>12</v>
      </c>
      <c r="C50" s="16" t="s">
        <v>104</v>
      </c>
      <c r="D50" s="16" t="s">
        <v>105</v>
      </c>
      <c r="E50" s="16" t="s">
        <v>15</v>
      </c>
      <c r="F50" s="16" t="s">
        <v>19</v>
      </c>
      <c r="G50" s="6">
        <v>0</v>
      </c>
      <c r="H50" s="15"/>
      <c r="L50" s="6">
        <f>Table946[[#This Row],[Harga Satuan]]*Table946[[#This Row],[Stock Akhir]]</f>
        <v>0</v>
      </c>
    </row>
    <row r="51" spans="1:12" hidden="1" x14ac:dyDescent="0.25">
      <c r="A51" s="15" cm="1">
        <f t="array" ref="A51">ROW()-ROW(Table946[#Headers])</f>
        <v>46</v>
      </c>
      <c r="B51" s="16" t="s">
        <v>12</v>
      </c>
      <c r="C51" s="16" t="s">
        <v>106</v>
      </c>
      <c r="D51" s="16" t="s">
        <v>107</v>
      </c>
      <c r="E51" s="16" t="s">
        <v>15</v>
      </c>
      <c r="F51" s="16" t="s">
        <v>19</v>
      </c>
      <c r="G51" s="6">
        <v>162162</v>
      </c>
      <c r="H51" s="15"/>
      <c r="L51" s="6">
        <f>Table946[[#This Row],[Harga Satuan]]*Table946[[#This Row],[Stock Akhir]]</f>
        <v>0</v>
      </c>
    </row>
    <row r="52" spans="1:12" hidden="1" x14ac:dyDescent="0.25">
      <c r="A52" s="15" cm="1">
        <f t="array" ref="A52">ROW()-ROW(Table946[#Headers])</f>
        <v>47</v>
      </c>
      <c r="B52" s="16" t="s">
        <v>12</v>
      </c>
      <c r="C52" s="18" t="s">
        <v>108</v>
      </c>
      <c r="D52" s="19" t="s">
        <v>109</v>
      </c>
      <c r="E52" s="16" t="s">
        <v>15</v>
      </c>
      <c r="F52" s="16" t="s">
        <v>19</v>
      </c>
      <c r="G52" s="6">
        <v>5000</v>
      </c>
      <c r="H52" s="15"/>
      <c r="L52" s="6">
        <f>Table946[[#This Row],[Harga Satuan]]*Table946[[#This Row],[Stock Akhir]]</f>
        <v>0</v>
      </c>
    </row>
    <row r="53" spans="1:12" hidden="1" x14ac:dyDescent="0.25">
      <c r="A53" s="15" cm="1">
        <f t="array" ref="A53">ROW()-ROW(Table946[#Headers])</f>
        <v>48</v>
      </c>
      <c r="B53" s="16" t="s">
        <v>12</v>
      </c>
      <c r="C53" s="18" t="s">
        <v>110</v>
      </c>
      <c r="D53" s="19" t="s">
        <v>111</v>
      </c>
      <c r="E53" s="16" t="s">
        <v>15</v>
      </c>
      <c r="F53" s="16" t="s">
        <v>19</v>
      </c>
      <c r="G53" s="6">
        <v>5000</v>
      </c>
      <c r="H53" s="15"/>
      <c r="L53" s="6">
        <f>Table946[[#This Row],[Harga Satuan]]*Table946[[#This Row],[Stock Akhir]]</f>
        <v>0</v>
      </c>
    </row>
    <row r="54" spans="1:12" hidden="1" x14ac:dyDescent="0.25">
      <c r="A54" s="15" cm="1">
        <f t="array" ref="A54">ROW()-ROW(Table946[#Headers])</f>
        <v>49</v>
      </c>
      <c r="B54" s="16" t="s">
        <v>12</v>
      </c>
      <c r="C54" s="16" t="s">
        <v>112</v>
      </c>
      <c r="D54" s="16" t="s">
        <v>113</v>
      </c>
      <c r="E54" s="16" t="s">
        <v>15</v>
      </c>
      <c r="F54" s="16" t="s">
        <v>26</v>
      </c>
      <c r="G54" s="6">
        <v>0</v>
      </c>
      <c r="H54" s="15"/>
      <c r="L54" s="6">
        <f>Table946[[#This Row],[Harga Satuan]]*Table946[[#This Row],[Stock Akhir]]</f>
        <v>0</v>
      </c>
    </row>
    <row r="55" spans="1:12" hidden="1" x14ac:dyDescent="0.25">
      <c r="A55" s="5" cm="1">
        <f t="array" ref="A55">ROW()-ROW(Table946[#Headers])</f>
        <v>50</v>
      </c>
      <c r="B55" s="4" t="s">
        <v>12</v>
      </c>
      <c r="D55" s="4" t="s">
        <v>114</v>
      </c>
      <c r="E55" s="4" t="s">
        <v>15</v>
      </c>
      <c r="F55" s="4" t="s">
        <v>26</v>
      </c>
      <c r="G55" s="6">
        <v>3200</v>
      </c>
      <c r="L55" s="6">
        <f>Table946[[#This Row],[Harga Satuan]]*Table946[[#This Row],[Stock Akhir]]</f>
        <v>0</v>
      </c>
    </row>
    <row r="56" spans="1:12" hidden="1" x14ac:dyDescent="0.25">
      <c r="A56" s="15" cm="1">
        <f t="array" ref="A56">ROW()-ROW(Table946[#Headers])</f>
        <v>51</v>
      </c>
      <c r="B56" s="16" t="s">
        <v>12</v>
      </c>
      <c r="C56" s="16" t="s">
        <v>115</v>
      </c>
      <c r="D56" s="16" t="s">
        <v>116</v>
      </c>
      <c r="E56" s="16" t="s">
        <v>15</v>
      </c>
      <c r="F56" s="16" t="s">
        <v>26</v>
      </c>
      <c r="G56" s="6">
        <v>3300</v>
      </c>
      <c r="H56" s="15"/>
      <c r="L56" s="6">
        <f>Table946[[#This Row],[Harga Satuan]]*Table946[[#This Row],[Stock Akhir]]</f>
        <v>0</v>
      </c>
    </row>
    <row r="57" spans="1:12" hidden="1" x14ac:dyDescent="0.25">
      <c r="A57" s="5" cm="1">
        <f t="array" ref="A57">ROW()-ROW(Table946[#Headers])</f>
        <v>52</v>
      </c>
      <c r="B57" s="4" t="s">
        <v>12</v>
      </c>
      <c r="D57" s="4" t="s">
        <v>117</v>
      </c>
      <c r="E57" s="4" t="s">
        <v>15</v>
      </c>
      <c r="F57" s="4" t="s">
        <v>26</v>
      </c>
      <c r="G57" s="6">
        <v>3500</v>
      </c>
      <c r="L57" s="6">
        <f>Table946[[#This Row],[Harga Satuan]]*Table946[[#This Row],[Stock Akhir]]</f>
        <v>0</v>
      </c>
    </row>
    <row r="58" spans="1:12" hidden="1" x14ac:dyDescent="0.25">
      <c r="A58" s="5" cm="1">
        <f t="array" ref="A58">ROW()-ROW(Table946[#Headers])</f>
        <v>53</v>
      </c>
      <c r="B58" s="4" t="s">
        <v>12</v>
      </c>
      <c r="D58" s="4" t="s">
        <v>118</v>
      </c>
      <c r="E58" s="4" t="s">
        <v>15</v>
      </c>
      <c r="F58" s="4" t="s">
        <v>26</v>
      </c>
      <c r="G58" s="6">
        <v>3900</v>
      </c>
      <c r="L58" s="6">
        <f>Table946[[#This Row],[Harga Satuan]]*Table946[[#This Row],[Stock Akhir]]</f>
        <v>0</v>
      </c>
    </row>
    <row r="59" spans="1:12" hidden="1" x14ac:dyDescent="0.25">
      <c r="A59" s="5" cm="1">
        <f t="array" ref="A59">ROW()-ROW(Table946[#Headers])</f>
        <v>54</v>
      </c>
      <c r="B59" s="4" t="s">
        <v>12</v>
      </c>
      <c r="D59" s="4" t="s">
        <v>119</v>
      </c>
      <c r="E59" s="4" t="s">
        <v>15</v>
      </c>
      <c r="F59" s="4" t="s">
        <v>26</v>
      </c>
      <c r="G59" s="6">
        <v>10100</v>
      </c>
      <c r="L59" s="6">
        <f>Table946[[#This Row],[Harga Satuan]]*Table946[[#This Row],[Stock Akhir]]</f>
        <v>0</v>
      </c>
    </row>
    <row r="60" spans="1:12" hidden="1" x14ac:dyDescent="0.25">
      <c r="A60" s="15" cm="1">
        <f t="array" ref="A60">ROW()-ROW(Table946[#Headers])</f>
        <v>55</v>
      </c>
      <c r="B60" s="16" t="s">
        <v>12</v>
      </c>
      <c r="C60" s="16" t="s">
        <v>120</v>
      </c>
      <c r="D60" s="16" t="s">
        <v>121</v>
      </c>
      <c r="E60" s="16" t="s">
        <v>15</v>
      </c>
      <c r="F60" s="16" t="s">
        <v>26</v>
      </c>
      <c r="G60" s="6">
        <v>4450</v>
      </c>
      <c r="H60" s="15"/>
      <c r="L60" s="6">
        <f>Table946[[#This Row],[Harga Satuan]]*Table946[[#This Row],[Stock Akhir]]</f>
        <v>0</v>
      </c>
    </row>
    <row r="61" spans="1:12" hidden="1" x14ac:dyDescent="0.25">
      <c r="A61" s="15" cm="1">
        <f t="array" ref="A61">ROW()-ROW(Table946[#Headers])</f>
        <v>56</v>
      </c>
      <c r="B61" s="16" t="s">
        <v>12</v>
      </c>
      <c r="C61" s="16" t="s">
        <v>122</v>
      </c>
      <c r="D61" s="16" t="s">
        <v>123</v>
      </c>
      <c r="E61" s="16" t="s">
        <v>15</v>
      </c>
      <c r="F61" s="16" t="s">
        <v>26</v>
      </c>
      <c r="G61" s="6">
        <v>4450</v>
      </c>
      <c r="H61" s="15"/>
      <c r="L61" s="6">
        <f>Table946[[#This Row],[Harga Satuan]]*Table946[[#This Row],[Stock Akhir]]</f>
        <v>0</v>
      </c>
    </row>
    <row r="62" spans="1:12" hidden="1" x14ac:dyDescent="0.25">
      <c r="A62" s="15" cm="1">
        <f t="array" ref="A62">ROW()-ROW(Table946[#Headers])</f>
        <v>57</v>
      </c>
      <c r="B62" s="16" t="s">
        <v>12</v>
      </c>
      <c r="C62" s="16" t="s">
        <v>124</v>
      </c>
      <c r="D62" s="16" t="s">
        <v>125</v>
      </c>
      <c r="E62" s="16" t="s">
        <v>15</v>
      </c>
      <c r="F62" s="16" t="s">
        <v>26</v>
      </c>
      <c r="G62" s="6">
        <v>5500</v>
      </c>
      <c r="H62" s="15"/>
      <c r="L62" s="6">
        <f>Table946[[#This Row],[Harga Satuan]]*Table946[[#This Row],[Stock Akhir]]</f>
        <v>0</v>
      </c>
    </row>
    <row r="63" spans="1:12" hidden="1" x14ac:dyDescent="0.25">
      <c r="A63" s="5" cm="1">
        <f t="array" ref="A63">ROW()-ROW(Table946[#Headers])</f>
        <v>58</v>
      </c>
      <c r="B63" s="4" t="s">
        <v>12</v>
      </c>
      <c r="D63" s="4" t="s">
        <v>126</v>
      </c>
      <c r="E63" s="4" t="s">
        <v>15</v>
      </c>
      <c r="F63" s="4" t="s">
        <v>26</v>
      </c>
      <c r="G63" s="6">
        <v>8250</v>
      </c>
      <c r="L63" s="6">
        <f>Table946[[#This Row],[Harga Satuan]]*Table946[[#This Row],[Stock Akhir]]</f>
        <v>0</v>
      </c>
    </row>
    <row r="64" spans="1:12" hidden="1" x14ac:dyDescent="0.25">
      <c r="A64" s="5" cm="1">
        <f t="array" ref="A64">ROW()-ROW(Table946[#Headers])</f>
        <v>59</v>
      </c>
      <c r="B64" s="4" t="s">
        <v>12</v>
      </c>
      <c r="D64" s="4" t="s">
        <v>127</v>
      </c>
      <c r="E64" s="4" t="s">
        <v>15</v>
      </c>
      <c r="F64" s="4" t="s">
        <v>26</v>
      </c>
      <c r="G64" s="6">
        <v>8550</v>
      </c>
      <c r="L64" s="6">
        <f>Table946[[#This Row],[Harga Satuan]]*Table946[[#This Row],[Stock Akhir]]</f>
        <v>0</v>
      </c>
    </row>
    <row r="65" spans="1:12" hidden="1" x14ac:dyDescent="0.25">
      <c r="A65" s="15" cm="1">
        <f t="array" ref="A65">ROW()-ROW(Table946[#Headers])</f>
        <v>60</v>
      </c>
      <c r="B65" s="16" t="s">
        <v>12</v>
      </c>
      <c r="C65" s="16" t="s">
        <v>128</v>
      </c>
      <c r="D65" s="16" t="s">
        <v>129</v>
      </c>
      <c r="E65" s="16" t="s">
        <v>15</v>
      </c>
      <c r="F65" s="16" t="s">
        <v>26</v>
      </c>
      <c r="G65" s="6">
        <v>10100</v>
      </c>
      <c r="H65" s="15"/>
      <c r="L65" s="6">
        <f>Table946[[#This Row],[Harga Satuan]]*Table946[[#This Row],[Stock Akhir]]</f>
        <v>0</v>
      </c>
    </row>
    <row r="66" spans="1:12" hidden="1" x14ac:dyDescent="0.25">
      <c r="A66" s="5" cm="1">
        <f t="array" ref="A66">ROW()-ROW(Table946[#Headers])</f>
        <v>61</v>
      </c>
      <c r="B66" s="4" t="s">
        <v>12</v>
      </c>
      <c r="D66" s="4" t="s">
        <v>130</v>
      </c>
      <c r="E66" s="4" t="s">
        <v>15</v>
      </c>
      <c r="F66" s="4" t="s">
        <v>26</v>
      </c>
      <c r="G66" s="6">
        <v>0</v>
      </c>
      <c r="L66" s="6">
        <f>Table946[[#This Row],[Harga Satuan]]*Table946[[#This Row],[Stock Akhir]]</f>
        <v>0</v>
      </c>
    </row>
    <row r="67" spans="1:12" hidden="1" x14ac:dyDescent="0.25">
      <c r="A67" s="15" cm="1">
        <f t="array" ref="A67">ROW()-ROW(Table946[#Headers])</f>
        <v>62</v>
      </c>
      <c r="B67" s="16" t="s">
        <v>12</v>
      </c>
      <c r="C67" s="16" t="s">
        <v>131</v>
      </c>
      <c r="D67" s="16" t="s">
        <v>132</v>
      </c>
      <c r="E67" s="16" t="s">
        <v>15</v>
      </c>
      <c r="F67" s="16" t="s">
        <v>26</v>
      </c>
      <c r="G67" s="6">
        <v>8800</v>
      </c>
      <c r="H67" s="15"/>
      <c r="L67" s="6">
        <f>Table946[[#This Row],[Harga Satuan]]*Table946[[#This Row],[Stock Akhir]]</f>
        <v>0</v>
      </c>
    </row>
    <row r="68" spans="1:12" hidden="1" x14ac:dyDescent="0.25">
      <c r="A68" s="5" cm="1">
        <f t="array" ref="A68">ROW()-ROW(Table946[#Headers])</f>
        <v>63</v>
      </c>
      <c r="B68" s="4" t="s">
        <v>12</v>
      </c>
      <c r="D68" s="4" t="s">
        <v>133</v>
      </c>
      <c r="E68" s="4" t="s">
        <v>15</v>
      </c>
      <c r="F68" s="4" t="s">
        <v>26</v>
      </c>
      <c r="G68" s="6">
        <v>10500</v>
      </c>
      <c r="L68" s="6">
        <f>Table946[[#This Row],[Harga Satuan]]*Table946[[#This Row],[Stock Akhir]]</f>
        <v>0</v>
      </c>
    </row>
    <row r="69" spans="1:12" hidden="1" x14ac:dyDescent="0.25">
      <c r="A69" s="5" cm="1">
        <f t="array" ref="A69">ROW()-ROW(Table946[#Headers])</f>
        <v>64</v>
      </c>
      <c r="B69" s="4" t="s">
        <v>12</v>
      </c>
      <c r="D69" s="4" t="s">
        <v>134</v>
      </c>
      <c r="E69" s="4" t="s">
        <v>15</v>
      </c>
      <c r="F69" s="4" t="s">
        <v>26</v>
      </c>
      <c r="G69" s="6">
        <v>0</v>
      </c>
      <c r="L69" s="6">
        <f>Table946[[#This Row],[Harga Satuan]]*Table946[[#This Row],[Stock Akhir]]</f>
        <v>0</v>
      </c>
    </row>
    <row r="70" spans="1:12" hidden="1" x14ac:dyDescent="0.25">
      <c r="A70" s="15" cm="1">
        <f t="array" ref="A70">ROW()-ROW(Table946[#Headers])</f>
        <v>65</v>
      </c>
      <c r="B70" s="16" t="s">
        <v>12</v>
      </c>
      <c r="C70" s="16" t="s">
        <v>135</v>
      </c>
      <c r="D70" s="16" t="s">
        <v>136</v>
      </c>
      <c r="E70" s="16" t="s">
        <v>15</v>
      </c>
      <c r="F70" s="16" t="s">
        <v>26</v>
      </c>
      <c r="G70" s="6">
        <v>300</v>
      </c>
      <c r="H70" s="15"/>
      <c r="L70" s="6">
        <f>Table946[[#This Row],[Harga Satuan]]*Table946[[#This Row],[Stock Akhir]]</f>
        <v>0</v>
      </c>
    </row>
    <row r="71" spans="1:12" hidden="1" x14ac:dyDescent="0.25">
      <c r="A71" s="15" cm="1">
        <f t="array" ref="A71">ROW()-ROW(Table946[#Headers])</f>
        <v>66</v>
      </c>
      <c r="B71" s="16" t="s">
        <v>12</v>
      </c>
      <c r="C71" s="16" t="s">
        <v>137</v>
      </c>
      <c r="D71" s="16" t="s">
        <v>138</v>
      </c>
      <c r="E71" s="16" t="s">
        <v>15</v>
      </c>
      <c r="F71" s="16" t="s">
        <v>26</v>
      </c>
      <c r="G71" s="6">
        <v>350</v>
      </c>
      <c r="H71" s="15"/>
      <c r="L71" s="6">
        <f>Table946[[#This Row],[Harga Satuan]]*Table946[[#This Row],[Stock Akhir]]</f>
        <v>0</v>
      </c>
    </row>
    <row r="72" spans="1:12" hidden="1" x14ac:dyDescent="0.25">
      <c r="A72" s="15" cm="1">
        <f t="array" ref="A72">ROW()-ROW(Table946[#Headers])</f>
        <v>67</v>
      </c>
      <c r="B72" s="16" t="s">
        <v>12</v>
      </c>
      <c r="C72" s="16" t="s">
        <v>139</v>
      </c>
      <c r="D72" s="16" t="s">
        <v>140</v>
      </c>
      <c r="E72" s="16" t="s">
        <v>15</v>
      </c>
      <c r="F72" s="16" t="s">
        <v>26</v>
      </c>
      <c r="G72" s="6">
        <v>300</v>
      </c>
      <c r="H72" s="15"/>
      <c r="L72" s="6">
        <f>Table946[[#This Row],[Harga Satuan]]*Table946[[#This Row],[Stock Akhir]]</f>
        <v>0</v>
      </c>
    </row>
    <row r="73" spans="1:12" hidden="1" x14ac:dyDescent="0.25">
      <c r="A73" s="5" cm="1">
        <f t="array" ref="A73">ROW()-ROW(Table946[#Headers])</f>
        <v>68</v>
      </c>
      <c r="B73" s="4" t="s">
        <v>12</v>
      </c>
      <c r="D73" s="4" t="s">
        <v>141</v>
      </c>
      <c r="E73" s="4" t="s">
        <v>15</v>
      </c>
      <c r="F73" s="4" t="s">
        <v>26</v>
      </c>
      <c r="G73" s="6">
        <v>0</v>
      </c>
      <c r="L73" s="6">
        <f>Table946[[#This Row],[Harga Satuan]]*Table946[[#This Row],[Stock Akhir]]</f>
        <v>0</v>
      </c>
    </row>
    <row r="74" spans="1:12" hidden="1" x14ac:dyDescent="0.25">
      <c r="A74" s="5" cm="1">
        <f t="array" ref="A74">ROW()-ROW(Table946[#Headers])</f>
        <v>69</v>
      </c>
      <c r="B74" s="4" t="s">
        <v>12</v>
      </c>
      <c r="D74" s="4" t="s">
        <v>142</v>
      </c>
      <c r="E74" s="4" t="s">
        <v>15</v>
      </c>
      <c r="F74" s="4" t="s">
        <v>26</v>
      </c>
      <c r="G74" s="6">
        <v>400</v>
      </c>
      <c r="L74" s="6">
        <f>Table946[[#This Row],[Harga Satuan]]*Table946[[#This Row],[Stock Akhir]]</f>
        <v>0</v>
      </c>
    </row>
    <row r="75" spans="1:12" hidden="1" x14ac:dyDescent="0.25">
      <c r="A75" s="5" cm="1">
        <f t="array" ref="A75">ROW()-ROW(Table946[#Headers])</f>
        <v>70</v>
      </c>
      <c r="B75" s="4" t="s">
        <v>12</v>
      </c>
      <c r="D75" s="4" t="s">
        <v>143</v>
      </c>
      <c r="E75" s="4" t="s">
        <v>15</v>
      </c>
      <c r="F75" s="4" t="s">
        <v>26</v>
      </c>
      <c r="G75" s="6">
        <v>0</v>
      </c>
      <c r="L75" s="6">
        <f>Table946[[#This Row],[Harga Satuan]]*Table946[[#This Row],[Stock Akhir]]</f>
        <v>0</v>
      </c>
    </row>
    <row r="76" spans="1:12" hidden="1" x14ac:dyDescent="0.25">
      <c r="A76" s="5" cm="1">
        <f t="array" ref="A76">ROW()-ROW(Table946[#Headers])</f>
        <v>71</v>
      </c>
      <c r="B76" s="4" t="s">
        <v>12</v>
      </c>
      <c r="D76" s="4" t="s">
        <v>144</v>
      </c>
      <c r="E76" s="4" t="s">
        <v>15</v>
      </c>
      <c r="F76" s="4" t="s">
        <v>26</v>
      </c>
      <c r="G76" s="6">
        <v>0</v>
      </c>
      <c r="L76" s="6">
        <f>Table946[[#This Row],[Harga Satuan]]*Table946[[#This Row],[Stock Akhir]]</f>
        <v>0</v>
      </c>
    </row>
    <row r="77" spans="1:12" hidden="1" x14ac:dyDescent="0.25">
      <c r="A77" s="5" cm="1">
        <f t="array" ref="A77">ROW()-ROW(Table946[#Headers])</f>
        <v>72</v>
      </c>
      <c r="B77" s="4" t="s">
        <v>12</v>
      </c>
      <c r="D77" s="4" t="s">
        <v>145</v>
      </c>
      <c r="E77" s="4" t="s">
        <v>15</v>
      </c>
      <c r="F77" s="4" t="s">
        <v>26</v>
      </c>
      <c r="G77" s="6">
        <v>0</v>
      </c>
      <c r="L77" s="6">
        <f>Table946[[#This Row],[Harga Satuan]]*Table946[[#This Row],[Stock Akhir]]</f>
        <v>0</v>
      </c>
    </row>
    <row r="78" spans="1:12" hidden="1" x14ac:dyDescent="0.25">
      <c r="A78" s="5" cm="1">
        <f t="array" ref="A78">ROW()-ROW(Table946[#Headers])</f>
        <v>73</v>
      </c>
      <c r="B78" s="4" t="s">
        <v>12</v>
      </c>
      <c r="D78" s="4" t="s">
        <v>146</v>
      </c>
      <c r="E78" s="4" t="s">
        <v>15</v>
      </c>
      <c r="F78" s="4" t="s">
        <v>26</v>
      </c>
      <c r="G78" s="6">
        <v>0</v>
      </c>
      <c r="L78" s="6">
        <f>Table946[[#This Row],[Harga Satuan]]*Table946[[#This Row],[Stock Akhir]]</f>
        <v>0</v>
      </c>
    </row>
    <row r="79" spans="1:12" hidden="1" x14ac:dyDescent="0.25">
      <c r="A79" s="5" cm="1">
        <f t="array" ref="A79">ROW()-ROW(Table946[#Headers])</f>
        <v>74</v>
      </c>
      <c r="B79" s="4" t="s">
        <v>12</v>
      </c>
      <c r="D79" s="4" t="s">
        <v>147</v>
      </c>
      <c r="E79" s="4" t="s">
        <v>15</v>
      </c>
      <c r="F79" s="4" t="s">
        <v>26</v>
      </c>
      <c r="G79" s="6">
        <v>0</v>
      </c>
      <c r="L79" s="6">
        <f>Table946[[#This Row],[Harga Satuan]]*Table946[[#This Row],[Stock Akhir]]</f>
        <v>0</v>
      </c>
    </row>
    <row r="80" spans="1:12" hidden="1" x14ac:dyDescent="0.25">
      <c r="A80" s="5" cm="1">
        <f t="array" ref="A80">ROW()-ROW(Table946[#Headers])</f>
        <v>75</v>
      </c>
      <c r="B80" s="4" t="s">
        <v>12</v>
      </c>
      <c r="D80" s="4" t="s">
        <v>148</v>
      </c>
      <c r="E80" s="4" t="s">
        <v>15</v>
      </c>
      <c r="F80" s="4" t="s">
        <v>26</v>
      </c>
      <c r="G80" s="6">
        <v>0</v>
      </c>
      <c r="L80" s="6">
        <f>Table946[[#This Row],[Harga Satuan]]*Table946[[#This Row],[Stock Akhir]]</f>
        <v>0</v>
      </c>
    </row>
    <row r="81" spans="1:12" hidden="1" x14ac:dyDescent="0.25">
      <c r="A81" s="5" cm="1">
        <f t="array" ref="A81">ROW()-ROW(Table946[#Headers])</f>
        <v>76</v>
      </c>
      <c r="B81" s="4" t="s">
        <v>12</v>
      </c>
      <c r="D81" s="4" t="s">
        <v>149</v>
      </c>
      <c r="E81" s="4" t="s">
        <v>15</v>
      </c>
      <c r="F81" s="4" t="s">
        <v>26</v>
      </c>
      <c r="G81" s="6">
        <v>0</v>
      </c>
      <c r="L81" s="6">
        <f>Table946[[#This Row],[Harga Satuan]]*Table946[[#This Row],[Stock Akhir]]</f>
        <v>0</v>
      </c>
    </row>
    <row r="82" spans="1:12" hidden="1" x14ac:dyDescent="0.25">
      <c r="A82" s="5" cm="1">
        <f t="array" ref="A82">ROW()-ROW(Table946[#Headers])</f>
        <v>77</v>
      </c>
      <c r="B82" s="4" t="s">
        <v>12</v>
      </c>
      <c r="D82" s="4" t="s">
        <v>150</v>
      </c>
      <c r="E82" s="4" t="s">
        <v>15</v>
      </c>
      <c r="F82" s="4" t="s">
        <v>26</v>
      </c>
      <c r="G82" s="6">
        <v>0</v>
      </c>
      <c r="L82" s="6">
        <f>Table946[[#This Row],[Harga Satuan]]*Table946[[#This Row],[Stock Akhir]]</f>
        <v>0</v>
      </c>
    </row>
    <row r="83" spans="1:12" hidden="1" x14ac:dyDescent="0.25">
      <c r="A83" s="5" cm="1">
        <f t="array" ref="A83">ROW()-ROW(Table946[#Headers])</f>
        <v>78</v>
      </c>
      <c r="B83" s="4" t="s">
        <v>12</v>
      </c>
      <c r="D83" s="4" t="s">
        <v>151</v>
      </c>
      <c r="E83" s="4" t="s">
        <v>15</v>
      </c>
      <c r="F83" s="4" t="s">
        <v>26</v>
      </c>
      <c r="G83" s="6">
        <v>0</v>
      </c>
      <c r="L83" s="6">
        <f>Table946[[#This Row],[Harga Satuan]]*Table946[[#This Row],[Stock Akhir]]</f>
        <v>0</v>
      </c>
    </row>
    <row r="84" spans="1:12" hidden="1" x14ac:dyDescent="0.25">
      <c r="A84" s="5" cm="1">
        <f t="array" ref="A84">ROW()-ROW(Table946[#Headers])</f>
        <v>79</v>
      </c>
      <c r="B84" s="4" t="s">
        <v>12</v>
      </c>
      <c r="D84" s="4" t="s">
        <v>152</v>
      </c>
      <c r="E84" s="4" t="s">
        <v>15</v>
      </c>
      <c r="F84" s="4" t="s">
        <v>26</v>
      </c>
      <c r="G84" s="6">
        <v>0</v>
      </c>
      <c r="L84" s="6">
        <f>Table946[[#This Row],[Harga Satuan]]*Table946[[#This Row],[Stock Akhir]]</f>
        <v>0</v>
      </c>
    </row>
    <row r="85" spans="1:12" hidden="1" x14ac:dyDescent="0.25">
      <c r="A85" s="5" cm="1">
        <f t="array" ref="A85">ROW()-ROW(Table946[#Headers])</f>
        <v>80</v>
      </c>
      <c r="B85" s="4" t="s">
        <v>12</v>
      </c>
      <c r="D85" s="4" t="s">
        <v>153</v>
      </c>
      <c r="E85" s="4" t="s">
        <v>15</v>
      </c>
      <c r="F85" s="4" t="s">
        <v>26</v>
      </c>
      <c r="G85" s="6">
        <v>0</v>
      </c>
      <c r="L85" s="6">
        <f>Table946[[#This Row],[Harga Satuan]]*Table946[[#This Row],[Stock Akhir]]</f>
        <v>0</v>
      </c>
    </row>
    <row r="86" spans="1:12" hidden="1" x14ac:dyDescent="0.25">
      <c r="A86" s="5" cm="1">
        <f t="array" ref="A86">ROW()-ROW(Table946[#Headers])</f>
        <v>81</v>
      </c>
      <c r="B86" s="4" t="s">
        <v>12</v>
      </c>
      <c r="D86" s="4" t="s">
        <v>154</v>
      </c>
      <c r="E86" s="4" t="s">
        <v>15</v>
      </c>
      <c r="F86" s="4" t="s">
        <v>26</v>
      </c>
      <c r="G86" s="6">
        <v>0</v>
      </c>
      <c r="L86" s="6">
        <f>Table946[[#This Row],[Harga Satuan]]*Table946[[#This Row],[Stock Akhir]]</f>
        <v>0</v>
      </c>
    </row>
    <row r="87" spans="1:12" hidden="1" x14ac:dyDescent="0.25">
      <c r="A87" s="5" cm="1">
        <f t="array" ref="A87">ROW()-ROW(Table946[#Headers])</f>
        <v>82</v>
      </c>
      <c r="B87" s="4" t="s">
        <v>12</v>
      </c>
      <c r="D87" s="4" t="s">
        <v>155</v>
      </c>
      <c r="E87" s="4" t="s">
        <v>15</v>
      </c>
      <c r="F87" s="4" t="s">
        <v>26</v>
      </c>
      <c r="G87" s="6">
        <v>0</v>
      </c>
      <c r="L87" s="6">
        <f>Table946[[#This Row],[Harga Satuan]]*Table946[[#This Row],[Stock Akhir]]</f>
        <v>0</v>
      </c>
    </row>
    <row r="88" spans="1:12" hidden="1" x14ac:dyDescent="0.25">
      <c r="A88" s="15" cm="1">
        <f t="array" ref="A88">ROW()-ROW(Table946[#Headers])</f>
        <v>83</v>
      </c>
      <c r="B88" s="16" t="s">
        <v>12</v>
      </c>
      <c r="C88" s="16" t="s">
        <v>156</v>
      </c>
      <c r="D88" s="16" t="s">
        <v>157</v>
      </c>
      <c r="E88" s="16" t="s">
        <v>15</v>
      </c>
      <c r="F88" s="16" t="s">
        <v>26</v>
      </c>
      <c r="G88" s="6">
        <v>1000</v>
      </c>
      <c r="H88" s="15"/>
      <c r="L88" s="6">
        <f>Table946[[#This Row],[Harga Satuan]]*Table946[[#This Row],[Stock Akhir]]</f>
        <v>0</v>
      </c>
    </row>
    <row r="89" spans="1:12" hidden="1" x14ac:dyDescent="0.25">
      <c r="A89" s="15" cm="1">
        <f t="array" ref="A89">ROW()-ROW(Table946[#Headers])</f>
        <v>84</v>
      </c>
      <c r="B89" s="16" t="s">
        <v>12</v>
      </c>
      <c r="C89" s="16" t="s">
        <v>158</v>
      </c>
      <c r="D89" s="16" t="s">
        <v>159</v>
      </c>
      <c r="E89" s="16" t="s">
        <v>15</v>
      </c>
      <c r="F89" s="16" t="s">
        <v>26</v>
      </c>
      <c r="G89" s="6">
        <v>1000</v>
      </c>
      <c r="H89" s="15"/>
      <c r="L89" s="6">
        <f>Table946[[#This Row],[Harga Satuan]]*Table946[[#This Row],[Stock Akhir]]</f>
        <v>0</v>
      </c>
    </row>
    <row r="90" spans="1:12" hidden="1" x14ac:dyDescent="0.25">
      <c r="A90" s="5" cm="1">
        <f t="array" ref="A90">ROW()-ROW(Table946[#Headers])</f>
        <v>85</v>
      </c>
      <c r="B90" s="4" t="s">
        <v>12</v>
      </c>
      <c r="D90" s="4" t="s">
        <v>160</v>
      </c>
      <c r="E90" s="4" t="s">
        <v>15</v>
      </c>
      <c r="F90" s="4" t="s">
        <v>26</v>
      </c>
      <c r="G90" s="6">
        <v>1350</v>
      </c>
      <c r="L90" s="6">
        <f>Table946[[#This Row],[Harga Satuan]]*Table946[[#This Row],[Stock Akhir]]</f>
        <v>0</v>
      </c>
    </row>
    <row r="91" spans="1:12" hidden="1" x14ac:dyDescent="0.25">
      <c r="A91" s="5" cm="1">
        <f t="array" ref="A91">ROW()-ROW(Table946[#Headers])</f>
        <v>86</v>
      </c>
      <c r="B91" s="4" t="s">
        <v>12</v>
      </c>
      <c r="D91" s="4" t="s">
        <v>161</v>
      </c>
      <c r="E91" s="4" t="s">
        <v>15</v>
      </c>
      <c r="F91" s="4" t="s">
        <v>26</v>
      </c>
      <c r="G91" s="6">
        <v>0</v>
      </c>
      <c r="L91" s="6">
        <f>Table946[[#This Row],[Harga Satuan]]*Table946[[#This Row],[Stock Akhir]]</f>
        <v>0</v>
      </c>
    </row>
    <row r="92" spans="1:12" hidden="1" x14ac:dyDescent="0.25">
      <c r="A92" s="5" cm="1">
        <f t="array" ref="A92">ROW()-ROW(Table946[#Headers])</f>
        <v>87</v>
      </c>
      <c r="B92" s="4" t="s">
        <v>12</v>
      </c>
      <c r="D92" s="4" t="s">
        <v>162</v>
      </c>
      <c r="E92" s="4" t="s">
        <v>15</v>
      </c>
      <c r="F92" s="4" t="s">
        <v>26</v>
      </c>
      <c r="G92" s="6">
        <v>0</v>
      </c>
      <c r="L92" s="6">
        <f>Table946[[#This Row],[Harga Satuan]]*Table946[[#This Row],[Stock Akhir]]</f>
        <v>0</v>
      </c>
    </row>
    <row r="93" spans="1:12" hidden="1" x14ac:dyDescent="0.25">
      <c r="A93" s="15" cm="1">
        <f t="array" ref="A93">ROW()-ROW(Table946[#Headers])</f>
        <v>88</v>
      </c>
      <c r="B93" s="16" t="s">
        <v>12</v>
      </c>
      <c r="C93" s="16" t="s">
        <v>163</v>
      </c>
      <c r="D93" s="16" t="s">
        <v>164</v>
      </c>
      <c r="E93" s="16" t="s">
        <v>15</v>
      </c>
      <c r="F93" s="16" t="s">
        <v>26</v>
      </c>
      <c r="G93" s="6">
        <v>1700</v>
      </c>
      <c r="H93" s="15"/>
      <c r="L93" s="6">
        <f>Table946[[#This Row],[Harga Satuan]]*Table946[[#This Row],[Stock Akhir]]</f>
        <v>0</v>
      </c>
    </row>
    <row r="94" spans="1:12" hidden="1" x14ac:dyDescent="0.25">
      <c r="A94" s="5" cm="1">
        <f t="array" ref="A94">ROW()-ROW(Table946[#Headers])</f>
        <v>89</v>
      </c>
      <c r="B94" s="4" t="s">
        <v>12</v>
      </c>
      <c r="D94" s="4" t="s">
        <v>165</v>
      </c>
      <c r="E94" s="4" t="s">
        <v>15</v>
      </c>
      <c r="F94" s="4" t="s">
        <v>26</v>
      </c>
      <c r="G94" s="6">
        <v>0</v>
      </c>
      <c r="L94" s="6">
        <f>Table946[[#This Row],[Harga Satuan]]*Table946[[#This Row],[Stock Akhir]]</f>
        <v>0</v>
      </c>
    </row>
    <row r="95" spans="1:12" hidden="1" x14ac:dyDescent="0.25">
      <c r="A95" s="5" cm="1">
        <f t="array" ref="A95">ROW()-ROW(Table946[#Headers])</f>
        <v>90</v>
      </c>
      <c r="B95" s="4" t="s">
        <v>12</v>
      </c>
      <c r="D95" s="4" t="s">
        <v>166</v>
      </c>
      <c r="E95" s="4" t="s">
        <v>15</v>
      </c>
      <c r="F95" s="4" t="s">
        <v>26</v>
      </c>
      <c r="G95" s="6">
        <v>7200</v>
      </c>
      <c r="L95" s="6">
        <f>Table946[[#This Row],[Harga Satuan]]*Table946[[#This Row],[Stock Akhir]]</f>
        <v>0</v>
      </c>
    </row>
    <row r="96" spans="1:12" hidden="1" x14ac:dyDescent="0.25">
      <c r="A96" s="5" cm="1">
        <f t="array" ref="A96">ROW()-ROW(Table946[#Headers])</f>
        <v>91</v>
      </c>
      <c r="B96" s="4" t="s">
        <v>12</v>
      </c>
      <c r="D96" s="4" t="s">
        <v>167</v>
      </c>
      <c r="E96" s="4" t="s">
        <v>15</v>
      </c>
      <c r="F96" s="4" t="s">
        <v>26</v>
      </c>
      <c r="G96" s="6">
        <v>8300</v>
      </c>
      <c r="L96" s="6">
        <f>Table946[[#This Row],[Harga Satuan]]*Table946[[#This Row],[Stock Akhir]]</f>
        <v>0</v>
      </c>
    </row>
    <row r="97" spans="1:12" hidden="1" x14ac:dyDescent="0.25">
      <c r="A97" s="5" cm="1">
        <f t="array" ref="A97">ROW()-ROW(Table946[#Headers])</f>
        <v>92</v>
      </c>
      <c r="B97" s="4" t="s">
        <v>12</v>
      </c>
      <c r="D97" s="4" t="s">
        <v>168</v>
      </c>
      <c r="E97" s="4" t="s">
        <v>15</v>
      </c>
      <c r="F97" s="4" t="s">
        <v>26</v>
      </c>
      <c r="G97" s="6">
        <v>9300</v>
      </c>
      <c r="L97" s="6">
        <f>Table946[[#This Row],[Harga Satuan]]*Table946[[#This Row],[Stock Akhir]]</f>
        <v>0</v>
      </c>
    </row>
    <row r="98" spans="1:12" hidden="1" x14ac:dyDescent="0.25">
      <c r="A98" s="5" cm="1">
        <f t="array" ref="A98">ROW()-ROW(Table946[#Headers])</f>
        <v>93</v>
      </c>
      <c r="B98" s="4" t="s">
        <v>12</v>
      </c>
      <c r="D98" s="4" t="s">
        <v>169</v>
      </c>
      <c r="E98" s="4" t="s">
        <v>15</v>
      </c>
      <c r="F98" s="4" t="s">
        <v>26</v>
      </c>
      <c r="G98" s="6">
        <v>9500</v>
      </c>
      <c r="L98" s="6">
        <f>Table946[[#This Row],[Harga Satuan]]*Table946[[#This Row],[Stock Akhir]]</f>
        <v>0</v>
      </c>
    </row>
    <row r="99" spans="1:12" hidden="1" x14ac:dyDescent="0.25">
      <c r="A99" s="5" cm="1">
        <f t="array" ref="A99">ROW()-ROW(Table946[#Headers])</f>
        <v>94</v>
      </c>
      <c r="B99" s="4" t="s">
        <v>12</v>
      </c>
      <c r="D99" s="4" t="s">
        <v>170</v>
      </c>
      <c r="E99" s="4" t="s">
        <v>15</v>
      </c>
      <c r="F99" s="4" t="s">
        <v>26</v>
      </c>
      <c r="G99" s="6">
        <v>15000</v>
      </c>
      <c r="L99" s="6">
        <f>Table946[[#This Row],[Harga Satuan]]*Table946[[#This Row],[Stock Akhir]]</f>
        <v>0</v>
      </c>
    </row>
    <row r="100" spans="1:12" hidden="1" x14ac:dyDescent="0.25">
      <c r="A100" s="5" cm="1">
        <f t="array" ref="A100">ROW()-ROW(Table946[#Headers])</f>
        <v>95</v>
      </c>
      <c r="B100" s="4" t="s">
        <v>12</v>
      </c>
      <c r="D100" s="4" t="s">
        <v>171</v>
      </c>
      <c r="E100" s="4" t="s">
        <v>15</v>
      </c>
      <c r="F100" s="4" t="s">
        <v>26</v>
      </c>
      <c r="G100" s="6">
        <v>10085</v>
      </c>
      <c r="L100" s="6">
        <f>Table946[[#This Row],[Harga Satuan]]*Table946[[#This Row],[Stock Akhir]]</f>
        <v>0</v>
      </c>
    </row>
    <row r="101" spans="1:12" hidden="1" x14ac:dyDescent="0.25">
      <c r="A101" s="15" cm="1">
        <f t="array" ref="A101">ROW()-ROW(Table946[#Headers])</f>
        <v>96</v>
      </c>
      <c r="B101" s="16" t="s">
        <v>12</v>
      </c>
      <c r="C101" s="16" t="s">
        <v>172</v>
      </c>
      <c r="D101" s="16" t="s">
        <v>173</v>
      </c>
      <c r="E101" s="16" t="s">
        <v>15</v>
      </c>
      <c r="F101" s="16" t="s">
        <v>19</v>
      </c>
      <c r="G101" s="6">
        <v>15000</v>
      </c>
      <c r="H101" s="15"/>
      <c r="L101" s="6">
        <f>Table946[[#This Row],[Harga Satuan]]*Table946[[#This Row],[Stock Akhir]]</f>
        <v>0</v>
      </c>
    </row>
    <row r="102" spans="1:12" hidden="1" x14ac:dyDescent="0.25">
      <c r="A102" s="15" cm="1">
        <f t="array" ref="A102">ROW()-ROW(Table946[#Headers])</f>
        <v>97</v>
      </c>
      <c r="B102" s="16" t="s">
        <v>12</v>
      </c>
      <c r="C102" s="16" t="s">
        <v>174</v>
      </c>
      <c r="D102" s="16" t="s">
        <v>175</v>
      </c>
      <c r="E102" s="16" t="s">
        <v>15</v>
      </c>
      <c r="F102" s="16" t="s">
        <v>19</v>
      </c>
      <c r="G102" s="6">
        <v>15000</v>
      </c>
      <c r="H102" s="15"/>
      <c r="L102" s="6">
        <f>Table946[[#This Row],[Harga Satuan]]*Table946[[#This Row],[Stock Akhir]]</f>
        <v>0</v>
      </c>
    </row>
    <row r="103" spans="1:12" hidden="1" x14ac:dyDescent="0.25">
      <c r="A103" s="15" cm="1">
        <f t="array" ref="A103">ROW()-ROW(Table946[#Headers])</f>
        <v>98</v>
      </c>
      <c r="B103" s="16" t="s">
        <v>12</v>
      </c>
      <c r="C103" s="16" t="s">
        <v>176</v>
      </c>
      <c r="D103" s="16" t="s">
        <v>177</v>
      </c>
      <c r="E103" s="16" t="s">
        <v>15</v>
      </c>
      <c r="F103" s="16" t="s">
        <v>19</v>
      </c>
      <c r="G103" s="6">
        <v>15000</v>
      </c>
      <c r="H103" s="15"/>
      <c r="L103" s="6">
        <f>Table946[[#This Row],[Harga Satuan]]*Table946[[#This Row],[Stock Akhir]]</f>
        <v>0</v>
      </c>
    </row>
    <row r="104" spans="1:12" hidden="1" x14ac:dyDescent="0.25">
      <c r="A104" s="15" cm="1">
        <f t="array" ref="A104">ROW()-ROW(Table946[#Headers])</f>
        <v>99</v>
      </c>
      <c r="B104" s="16" t="s">
        <v>12</v>
      </c>
      <c r="C104" s="16" t="s">
        <v>178</v>
      </c>
      <c r="D104" s="16" t="s">
        <v>179</v>
      </c>
      <c r="E104" s="16" t="s">
        <v>15</v>
      </c>
      <c r="F104" s="16" t="s">
        <v>19</v>
      </c>
      <c r="G104" s="6">
        <v>15000</v>
      </c>
      <c r="H104" s="15"/>
      <c r="L104" s="6">
        <f>Table946[[#This Row],[Harga Satuan]]*Table946[[#This Row],[Stock Akhir]]</f>
        <v>0</v>
      </c>
    </row>
    <row r="105" spans="1:12" hidden="1" x14ac:dyDescent="0.25">
      <c r="A105" s="15" cm="1">
        <f t="array" ref="A105">ROW()-ROW(Table946[#Headers])</f>
        <v>100</v>
      </c>
      <c r="B105" s="16" t="s">
        <v>12</v>
      </c>
      <c r="C105" s="16" t="s">
        <v>180</v>
      </c>
      <c r="D105" s="16" t="s">
        <v>181</v>
      </c>
      <c r="E105" s="16" t="s">
        <v>15</v>
      </c>
      <c r="F105" s="16" t="s">
        <v>19</v>
      </c>
      <c r="G105" s="6">
        <v>15000</v>
      </c>
      <c r="H105" s="15"/>
      <c r="L105" s="6">
        <f>Table946[[#This Row],[Harga Satuan]]*Table946[[#This Row],[Stock Akhir]]</f>
        <v>0</v>
      </c>
    </row>
    <row r="106" spans="1:12" hidden="1" x14ac:dyDescent="0.25">
      <c r="A106" s="15" cm="1">
        <f t="array" ref="A106">ROW()-ROW(Table946[#Headers])</f>
        <v>101</v>
      </c>
      <c r="B106" s="16" t="s">
        <v>12</v>
      </c>
      <c r="C106" s="16" t="s">
        <v>182</v>
      </c>
      <c r="D106" s="16" t="s">
        <v>183</v>
      </c>
      <c r="E106" s="16" t="s">
        <v>15</v>
      </c>
      <c r="F106" s="16" t="s">
        <v>26</v>
      </c>
      <c r="G106" s="6">
        <v>0</v>
      </c>
      <c r="H106" s="15"/>
      <c r="L106" s="6">
        <f>Table946[[#This Row],[Harga Satuan]]*Table946[[#This Row],[Stock Akhir]]</f>
        <v>0</v>
      </c>
    </row>
    <row r="107" spans="1:12" hidden="1" x14ac:dyDescent="0.25">
      <c r="A107" s="15" cm="1">
        <f t="array" ref="A107">ROW()-ROW(Table946[#Headers])</f>
        <v>102</v>
      </c>
      <c r="B107" s="16" t="s">
        <v>12</v>
      </c>
      <c r="C107" s="16" t="s">
        <v>184</v>
      </c>
      <c r="D107" s="16" t="s">
        <v>185</v>
      </c>
      <c r="E107" s="16" t="s">
        <v>15</v>
      </c>
      <c r="F107" s="16" t="s">
        <v>26</v>
      </c>
      <c r="G107" s="6">
        <v>0</v>
      </c>
      <c r="H107" s="15"/>
      <c r="L107" s="6">
        <f>Table946[[#This Row],[Harga Satuan]]*Table946[[#This Row],[Stock Akhir]]</f>
        <v>0</v>
      </c>
    </row>
    <row r="108" spans="1:12" hidden="1" x14ac:dyDescent="0.25">
      <c r="A108" s="15" cm="1">
        <f t="array" ref="A108">ROW()-ROW(Table946[#Headers])</f>
        <v>103</v>
      </c>
      <c r="B108" s="16" t="s">
        <v>12</v>
      </c>
      <c r="C108" s="16" t="s">
        <v>186</v>
      </c>
      <c r="D108" s="16" t="s">
        <v>187</v>
      </c>
      <c r="E108" s="16" t="s">
        <v>15</v>
      </c>
      <c r="F108" s="16" t="s">
        <v>26</v>
      </c>
      <c r="G108" s="6">
        <v>250000</v>
      </c>
      <c r="H108" s="15"/>
      <c r="L108" s="6">
        <f>Table946[[#This Row],[Harga Satuan]]*Table946[[#This Row],[Stock Akhir]]</f>
        <v>0</v>
      </c>
    </row>
    <row r="109" spans="1:12" hidden="1" x14ac:dyDescent="0.25">
      <c r="A109" s="15" cm="1">
        <f t="array" ref="A109">ROW()-ROW(Table946[#Headers])</f>
        <v>104</v>
      </c>
      <c r="B109" s="16" t="s">
        <v>12</v>
      </c>
      <c r="C109" s="16" t="s">
        <v>188</v>
      </c>
      <c r="D109" s="16" t="s">
        <v>189</v>
      </c>
      <c r="E109" s="16" t="s">
        <v>15</v>
      </c>
      <c r="F109" s="16" t="s">
        <v>26</v>
      </c>
      <c r="G109" s="6">
        <v>460000</v>
      </c>
      <c r="H109" s="15"/>
      <c r="L109" s="6">
        <f>Table946[[#This Row],[Harga Satuan]]*Table946[[#This Row],[Stock Akhir]]</f>
        <v>0</v>
      </c>
    </row>
    <row r="110" spans="1:12" hidden="1" x14ac:dyDescent="0.25">
      <c r="A110" s="15" cm="1">
        <f t="array" ref="A110">ROW()-ROW(Table946[#Headers])</f>
        <v>105</v>
      </c>
      <c r="B110" s="16" t="s">
        <v>12</v>
      </c>
      <c r="C110" s="16" t="s">
        <v>190</v>
      </c>
      <c r="D110" s="16" t="s">
        <v>191</v>
      </c>
      <c r="E110" s="16" t="s">
        <v>15</v>
      </c>
      <c r="F110" s="16" t="s">
        <v>26</v>
      </c>
      <c r="G110" s="6">
        <v>0</v>
      </c>
      <c r="H110" s="15"/>
      <c r="L110" s="6">
        <f>Table946[[#This Row],[Harga Satuan]]*Table946[[#This Row],[Stock Akhir]]</f>
        <v>0</v>
      </c>
    </row>
    <row r="111" spans="1:12" hidden="1" x14ac:dyDescent="0.25">
      <c r="A111" s="15" cm="1">
        <f t="array" ref="A111">ROW()-ROW(Table946[#Headers])</f>
        <v>106</v>
      </c>
      <c r="B111" s="16" t="s">
        <v>12</v>
      </c>
      <c r="C111" s="16" t="s">
        <v>190</v>
      </c>
      <c r="D111" s="16" t="s">
        <v>192</v>
      </c>
      <c r="E111" s="16" t="s">
        <v>15</v>
      </c>
      <c r="F111" s="16" t="s">
        <v>193</v>
      </c>
      <c r="G111" s="6">
        <v>55000</v>
      </c>
      <c r="H111" s="15"/>
      <c r="L111" s="6">
        <f>Table946[[#This Row],[Harga Satuan]]*Table946[[#This Row],[Stock Akhir]]</f>
        <v>0</v>
      </c>
    </row>
    <row r="112" spans="1:12" hidden="1" x14ac:dyDescent="0.25">
      <c r="A112" s="15" cm="1">
        <f t="array" ref="A112">ROW()-ROW(Table946[#Headers])</f>
        <v>107</v>
      </c>
      <c r="B112" s="16" t="s">
        <v>12</v>
      </c>
      <c r="C112" s="16" t="s">
        <v>194</v>
      </c>
      <c r="D112" s="16" t="s">
        <v>195</v>
      </c>
      <c r="E112" s="16" t="s">
        <v>15</v>
      </c>
      <c r="F112" s="16" t="s">
        <v>196</v>
      </c>
      <c r="G112" s="6">
        <v>1950000</v>
      </c>
      <c r="H112" s="15"/>
      <c r="L112" s="6">
        <f>Table946[[#This Row],[Harga Satuan]]*Table946[[#This Row],[Stock Akhir]]</f>
        <v>0</v>
      </c>
    </row>
    <row r="113" spans="1:12" hidden="1" x14ac:dyDescent="0.25">
      <c r="A113" s="15" cm="1">
        <f t="array" ref="A113">ROW()-ROW(Table946[#Headers])</f>
        <v>108</v>
      </c>
      <c r="B113" s="16" t="s">
        <v>12</v>
      </c>
      <c r="C113" s="16" t="s">
        <v>197</v>
      </c>
      <c r="D113" s="16" t="s">
        <v>198</v>
      </c>
      <c r="E113" s="16" t="s">
        <v>15</v>
      </c>
      <c r="F113" s="16" t="s">
        <v>196</v>
      </c>
      <c r="G113" s="6">
        <v>75000</v>
      </c>
      <c r="H113" s="15"/>
      <c r="L113" s="6">
        <f>Table946[[#This Row],[Harga Satuan]]*Table946[[#This Row],[Stock Akhir]]</f>
        <v>0</v>
      </c>
    </row>
    <row r="114" spans="1:12" hidden="1" x14ac:dyDescent="0.25">
      <c r="A114" s="15" cm="1">
        <f t="array" ref="A114">ROW()-ROW(Table946[#Headers])</f>
        <v>109</v>
      </c>
      <c r="B114" s="16" t="s">
        <v>12</v>
      </c>
      <c r="C114" s="16" t="s">
        <v>199</v>
      </c>
      <c r="D114" s="16" t="s">
        <v>200</v>
      </c>
      <c r="E114" s="16" t="s">
        <v>15</v>
      </c>
      <c r="F114" s="16" t="s">
        <v>196</v>
      </c>
      <c r="G114" s="6">
        <v>60000</v>
      </c>
      <c r="H114" s="15"/>
      <c r="L114" s="6">
        <f>Table946[[#This Row],[Harga Satuan]]*Table946[[#This Row],[Stock Akhir]]</f>
        <v>0</v>
      </c>
    </row>
    <row r="115" spans="1:12" hidden="1" x14ac:dyDescent="0.25">
      <c r="A115" s="15" cm="1">
        <f t="array" ref="A115">ROW()-ROW(Table946[#Headers])</f>
        <v>110</v>
      </c>
      <c r="B115" s="16" t="s">
        <v>12</v>
      </c>
      <c r="C115" s="16" t="s">
        <v>201</v>
      </c>
      <c r="D115" s="16" t="s">
        <v>202</v>
      </c>
      <c r="E115" s="16" t="s">
        <v>15</v>
      </c>
      <c r="F115" s="16" t="s">
        <v>196</v>
      </c>
      <c r="G115" s="6">
        <v>1330000</v>
      </c>
      <c r="H115" s="15"/>
      <c r="L115" s="6">
        <f>Table946[[#This Row],[Harga Satuan]]*Table946[[#This Row],[Stock Akhir]]</f>
        <v>0</v>
      </c>
    </row>
    <row r="116" spans="1:12" hidden="1" x14ac:dyDescent="0.25">
      <c r="A116" s="15" cm="1">
        <f t="array" ref="A116">ROW()-ROW(Table946[#Headers])</f>
        <v>111</v>
      </c>
      <c r="B116" s="16" t="s">
        <v>12</v>
      </c>
      <c r="C116" s="16" t="s">
        <v>203</v>
      </c>
      <c r="D116" s="16" t="s">
        <v>204</v>
      </c>
      <c r="E116" s="16" t="s">
        <v>15</v>
      </c>
      <c r="F116" s="16" t="s">
        <v>196</v>
      </c>
      <c r="G116" s="6">
        <v>45000</v>
      </c>
      <c r="H116" s="15"/>
      <c r="L116" s="6">
        <f>Table946[[#This Row],[Harga Satuan]]*Table946[[#This Row],[Stock Akhir]]</f>
        <v>0</v>
      </c>
    </row>
    <row r="117" spans="1:12" hidden="1" x14ac:dyDescent="0.25">
      <c r="A117" s="5" cm="1">
        <f t="array" ref="A117">ROW()-ROW(Table946[#Headers])</f>
        <v>112</v>
      </c>
      <c r="D117" s="4" t="s">
        <v>205</v>
      </c>
      <c r="E117" s="4" t="s">
        <v>15</v>
      </c>
      <c r="F117" s="4" t="s">
        <v>196</v>
      </c>
      <c r="G117" s="6">
        <v>47500</v>
      </c>
      <c r="L117" s="6">
        <f>Table946[[#This Row],[Harga Satuan]]*Table946[[#This Row],[Stock Akhir]]</f>
        <v>0</v>
      </c>
    </row>
    <row r="118" spans="1:12" hidden="1" x14ac:dyDescent="0.25">
      <c r="A118" s="15" cm="1">
        <f t="array" ref="A118">ROW()-ROW(Table946[#Headers])</f>
        <v>113</v>
      </c>
      <c r="B118" s="16" t="s">
        <v>12</v>
      </c>
      <c r="C118" s="16" t="s">
        <v>206</v>
      </c>
      <c r="D118" s="16" t="s">
        <v>207</v>
      </c>
      <c r="E118" s="16" t="s">
        <v>15</v>
      </c>
      <c r="F118" s="16" t="s">
        <v>19</v>
      </c>
      <c r="G118" s="6">
        <v>18018</v>
      </c>
      <c r="H118" s="15"/>
      <c r="L118" s="6">
        <f>Table946[[#This Row],[Harga Satuan]]*Table946[[#This Row],[Stock Akhir]]</f>
        <v>0</v>
      </c>
    </row>
    <row r="119" spans="1:12" hidden="1" x14ac:dyDescent="0.25">
      <c r="A119" s="15" cm="1">
        <f t="array" ref="A119">ROW()-ROW(Table946[#Headers])</f>
        <v>114</v>
      </c>
      <c r="B119" s="16" t="s">
        <v>12</v>
      </c>
      <c r="C119" s="16" t="s">
        <v>208</v>
      </c>
      <c r="D119" s="16" t="s">
        <v>209</v>
      </c>
      <c r="E119" s="16" t="s">
        <v>15</v>
      </c>
      <c r="F119" s="16" t="s">
        <v>196</v>
      </c>
      <c r="G119" s="6">
        <v>54054</v>
      </c>
      <c r="H119" s="15"/>
      <c r="L119" s="6">
        <f>Table946[[#This Row],[Harga Satuan]]*Table946[[#This Row],[Stock Akhir]]</f>
        <v>0</v>
      </c>
    </row>
    <row r="120" spans="1:12" hidden="1" x14ac:dyDescent="0.25">
      <c r="A120" s="15" cm="1">
        <f t="array" ref="A120">ROW()-ROW(Table946[#Headers])</f>
        <v>115</v>
      </c>
      <c r="B120" s="16" t="s">
        <v>12</v>
      </c>
      <c r="C120" s="16" t="s">
        <v>210</v>
      </c>
      <c r="D120" s="16" t="s">
        <v>211</v>
      </c>
      <c r="E120" s="16" t="s">
        <v>15</v>
      </c>
      <c r="F120" s="16" t="s">
        <v>19</v>
      </c>
      <c r="G120" s="6">
        <v>31531.53</v>
      </c>
      <c r="H120" s="15"/>
      <c r="L120" s="6">
        <f>Table946[[#This Row],[Harga Satuan]]*Table946[[#This Row],[Stock Akhir]]</f>
        <v>0</v>
      </c>
    </row>
    <row r="121" spans="1:12" hidden="1" x14ac:dyDescent="0.25">
      <c r="A121" s="15" cm="1">
        <f t="array" ref="A121">ROW()-ROW(Table946[#Headers])</f>
        <v>116</v>
      </c>
      <c r="B121" s="16" t="s">
        <v>12</v>
      </c>
      <c r="C121" s="16" t="s">
        <v>212</v>
      </c>
      <c r="D121" s="16" t="s">
        <v>213</v>
      </c>
      <c r="E121" s="16" t="s">
        <v>15</v>
      </c>
      <c r="F121" s="16" t="s">
        <v>16</v>
      </c>
      <c r="G121" s="6">
        <v>125000</v>
      </c>
      <c r="H121" s="15"/>
      <c r="L121" s="6">
        <f>Table946[[#This Row],[Harga Satuan]]*Table946[[#This Row],[Stock Akhir]]</f>
        <v>0</v>
      </c>
    </row>
    <row r="122" spans="1:12" hidden="1" x14ac:dyDescent="0.25">
      <c r="A122" s="15" cm="1">
        <f t="array" ref="A122">ROW()-ROW(Table946[#Headers])</f>
        <v>117</v>
      </c>
      <c r="B122" s="16" t="s">
        <v>12</v>
      </c>
      <c r="C122" s="16" t="s">
        <v>214</v>
      </c>
      <c r="D122" s="16" t="s">
        <v>215</v>
      </c>
      <c r="E122" s="16" t="s">
        <v>15</v>
      </c>
      <c r="F122" s="16" t="s">
        <v>196</v>
      </c>
      <c r="G122" s="6">
        <v>75000</v>
      </c>
      <c r="H122" s="15"/>
      <c r="L122" s="6">
        <f>Table946[[#This Row],[Harga Satuan]]*Table946[[#This Row],[Stock Akhir]]</f>
        <v>0</v>
      </c>
    </row>
    <row r="123" spans="1:12" hidden="1" x14ac:dyDescent="0.25">
      <c r="A123" s="15" cm="1">
        <f t="array" ref="A123">ROW()-ROW(Table946[#Headers])</f>
        <v>118</v>
      </c>
      <c r="B123" s="16" t="s">
        <v>12</v>
      </c>
      <c r="C123" s="16" t="s">
        <v>216</v>
      </c>
      <c r="D123" s="16" t="s">
        <v>217</v>
      </c>
      <c r="E123" s="16" t="s">
        <v>15</v>
      </c>
      <c r="F123" s="16" t="s">
        <v>196</v>
      </c>
      <c r="G123" s="6">
        <v>180000</v>
      </c>
      <c r="H123" s="15"/>
      <c r="L123" s="6">
        <f>Table946[[#This Row],[Harga Satuan]]*Table946[[#This Row],[Stock Akhir]]</f>
        <v>0</v>
      </c>
    </row>
    <row r="124" spans="1:12" hidden="1" x14ac:dyDescent="0.25">
      <c r="A124" s="15" cm="1">
        <f t="array" ref="A124">ROW()-ROW(Table946[#Headers])</f>
        <v>119</v>
      </c>
      <c r="B124" s="16" t="s">
        <v>12</v>
      </c>
      <c r="C124" s="16" t="s">
        <v>218</v>
      </c>
      <c r="D124" s="16" t="s">
        <v>219</v>
      </c>
      <c r="E124" s="16" t="s">
        <v>15</v>
      </c>
      <c r="F124" s="16" t="s">
        <v>196</v>
      </c>
      <c r="G124" s="6">
        <v>0</v>
      </c>
      <c r="H124" s="15"/>
      <c r="L124" s="6">
        <f>Table946[[#This Row],[Harga Satuan]]*Table946[[#This Row],[Stock Akhir]]</f>
        <v>0</v>
      </c>
    </row>
    <row r="125" spans="1:12" hidden="1" x14ac:dyDescent="0.25">
      <c r="A125" s="5" cm="1">
        <f t="array" ref="A125">ROW()-ROW(Table946[#Headers])</f>
        <v>120</v>
      </c>
      <c r="D125" s="4" t="s">
        <v>220</v>
      </c>
      <c r="E125" s="4" t="s">
        <v>15</v>
      </c>
      <c r="F125" s="4" t="s">
        <v>196</v>
      </c>
      <c r="G125" s="6">
        <v>240000</v>
      </c>
      <c r="L125" s="6">
        <f>Table946[[#This Row],[Harga Satuan]]*Table946[[#This Row],[Stock Akhir]]</f>
        <v>0</v>
      </c>
    </row>
    <row r="126" spans="1:12" hidden="1" x14ac:dyDescent="0.25">
      <c r="A126" s="15" cm="1">
        <f t="array" ref="A126">ROW()-ROW(Table946[#Headers])</f>
        <v>121</v>
      </c>
      <c r="B126" s="16" t="s">
        <v>12</v>
      </c>
      <c r="C126" s="16" t="s">
        <v>221</v>
      </c>
      <c r="D126" s="16" t="s">
        <v>222</v>
      </c>
      <c r="E126" s="16" t="s">
        <v>15</v>
      </c>
      <c r="F126" s="16" t="s">
        <v>223</v>
      </c>
      <c r="G126" s="6">
        <v>0</v>
      </c>
      <c r="H126" s="15"/>
      <c r="L126" s="6">
        <f>Table946[[#This Row],[Harga Satuan]]*Table946[[#This Row],[Stock Akhir]]</f>
        <v>0</v>
      </c>
    </row>
    <row r="127" spans="1:12" hidden="1" x14ac:dyDescent="0.25">
      <c r="A127" s="15" cm="1">
        <f t="array" ref="A127">ROW()-ROW(Table946[#Headers])</f>
        <v>122</v>
      </c>
      <c r="B127" s="16" t="s">
        <v>12</v>
      </c>
      <c r="C127" s="16" t="s">
        <v>224</v>
      </c>
      <c r="D127" s="16" t="s">
        <v>225</v>
      </c>
      <c r="E127" s="16" t="s">
        <v>15</v>
      </c>
      <c r="F127" s="16" t="s">
        <v>16</v>
      </c>
      <c r="G127" s="6">
        <v>15000</v>
      </c>
      <c r="H127" s="15"/>
      <c r="L127" s="6">
        <f>Table946[[#This Row],[Harga Satuan]]*Table946[[#This Row],[Stock Akhir]]</f>
        <v>0</v>
      </c>
    </row>
    <row r="128" spans="1:12" hidden="1" x14ac:dyDescent="0.25">
      <c r="A128" s="15" cm="1">
        <f t="array" ref="A128">ROW()-ROW(Table946[#Headers])</f>
        <v>123</v>
      </c>
      <c r="B128" s="16" t="s">
        <v>12</v>
      </c>
      <c r="C128" s="16" t="s">
        <v>226</v>
      </c>
      <c r="D128" s="16" t="s">
        <v>227</v>
      </c>
      <c r="E128" s="16" t="s">
        <v>15</v>
      </c>
      <c r="F128" s="16" t="s">
        <v>196</v>
      </c>
      <c r="G128" s="6">
        <v>405405</v>
      </c>
      <c r="H128" s="15"/>
      <c r="L128" s="6">
        <f>Table946[[#This Row],[Harga Satuan]]*Table946[[#This Row],[Stock Akhir]]</f>
        <v>0</v>
      </c>
    </row>
    <row r="129" spans="1:12" hidden="1" x14ac:dyDescent="0.25">
      <c r="A129" s="5" cm="1">
        <f t="array" ref="A129">ROW()-ROW(Table946[#Headers])</f>
        <v>124</v>
      </c>
      <c r="D129" s="4" t="s">
        <v>228</v>
      </c>
      <c r="E129" s="4" t="s">
        <v>15</v>
      </c>
      <c r="F129" s="4" t="s">
        <v>196</v>
      </c>
      <c r="G129" s="6">
        <v>148649</v>
      </c>
      <c r="L129" s="6">
        <f>Table946[[#This Row],[Harga Satuan]]*Table946[[#This Row],[Stock Akhir]]</f>
        <v>0</v>
      </c>
    </row>
    <row r="130" spans="1:12" hidden="1" x14ac:dyDescent="0.25">
      <c r="A130" s="5" cm="1">
        <f t="array" ref="A130">ROW()-ROW(Table946[#Headers])</f>
        <v>125</v>
      </c>
      <c r="D130" s="4" t="s">
        <v>229</v>
      </c>
      <c r="E130" s="4" t="s">
        <v>15</v>
      </c>
      <c r="F130" s="4" t="s">
        <v>196</v>
      </c>
      <c r="G130" s="6">
        <v>72072</v>
      </c>
      <c r="L130" s="6">
        <f>Table946[[#This Row],[Harga Satuan]]*Table946[[#This Row],[Stock Akhir]]</f>
        <v>0</v>
      </c>
    </row>
    <row r="131" spans="1:12" hidden="1" x14ac:dyDescent="0.25">
      <c r="A131" s="15" cm="1">
        <f t="array" ref="A131">ROW()-ROW(Table946[#Headers])</f>
        <v>126</v>
      </c>
      <c r="B131" s="16" t="s">
        <v>12</v>
      </c>
      <c r="C131" s="16" t="s">
        <v>230</v>
      </c>
      <c r="D131" s="16" t="s">
        <v>231</v>
      </c>
      <c r="E131" s="16" t="s">
        <v>15</v>
      </c>
      <c r="F131" s="16" t="s">
        <v>19</v>
      </c>
      <c r="G131" s="6">
        <v>13000</v>
      </c>
      <c r="H131" s="15"/>
      <c r="L131" s="6">
        <f>Table946[[#This Row],[Harga Satuan]]*Table946[[#This Row],[Stock Akhir]]</f>
        <v>0</v>
      </c>
    </row>
    <row r="132" spans="1:12" hidden="1" x14ac:dyDescent="0.25">
      <c r="A132" s="15" cm="1">
        <f t="array" ref="A132">ROW()-ROW(Table946[#Headers])</f>
        <v>127</v>
      </c>
      <c r="B132" s="16" t="s">
        <v>12</v>
      </c>
      <c r="C132" s="16" t="s">
        <v>232</v>
      </c>
      <c r="D132" s="16" t="s">
        <v>233</v>
      </c>
      <c r="E132" s="16" t="s">
        <v>15</v>
      </c>
      <c r="F132" s="16" t="s">
        <v>19</v>
      </c>
      <c r="G132" s="6">
        <v>6000</v>
      </c>
      <c r="H132" s="15"/>
      <c r="L132" s="6">
        <f>Table946[[#This Row],[Harga Satuan]]*Table946[[#This Row],[Stock Akhir]]</f>
        <v>0</v>
      </c>
    </row>
    <row r="133" spans="1:12" hidden="1" x14ac:dyDescent="0.25">
      <c r="A133" s="15" cm="1">
        <f t="array" ref="A133">ROW()-ROW(Table946[#Headers])</f>
        <v>128</v>
      </c>
      <c r="B133" s="16" t="s">
        <v>12</v>
      </c>
      <c r="C133" s="16" t="s">
        <v>234</v>
      </c>
      <c r="D133" s="16" t="s">
        <v>235</v>
      </c>
      <c r="E133" s="16" t="s">
        <v>15</v>
      </c>
      <c r="F133" s="16" t="s">
        <v>196</v>
      </c>
      <c r="G133" s="6">
        <v>45000</v>
      </c>
      <c r="H133" s="15"/>
      <c r="L133" s="6">
        <f>Table946[[#This Row],[Harga Satuan]]*Table946[[#This Row],[Stock Akhir]]</f>
        <v>0</v>
      </c>
    </row>
    <row r="134" spans="1:12" hidden="1" x14ac:dyDescent="0.25">
      <c r="A134" s="15" cm="1">
        <f t="array" ref="A134">ROW()-ROW(Table946[#Headers])</f>
        <v>129</v>
      </c>
      <c r="B134" s="16" t="s">
        <v>12</v>
      </c>
      <c r="C134" s="16" t="s">
        <v>236</v>
      </c>
      <c r="D134" s="16" t="s">
        <v>237</v>
      </c>
      <c r="E134" s="16" t="s">
        <v>15</v>
      </c>
      <c r="F134" s="16" t="s">
        <v>19</v>
      </c>
      <c r="G134" s="6">
        <v>17000</v>
      </c>
      <c r="H134" s="15"/>
      <c r="L134" s="6">
        <f>Table946[[#This Row],[Harga Satuan]]*Table946[[#This Row],[Stock Akhir]]</f>
        <v>0</v>
      </c>
    </row>
    <row r="135" spans="1:12" hidden="1" x14ac:dyDescent="0.25">
      <c r="A135" s="15" cm="1">
        <f t="array" ref="A135">ROW()-ROW(Table946[#Headers])</f>
        <v>130</v>
      </c>
      <c r="B135" s="16" t="s">
        <v>12</v>
      </c>
      <c r="C135" s="16" t="s">
        <v>238</v>
      </c>
      <c r="D135" s="16" t="s">
        <v>239</v>
      </c>
      <c r="E135" s="16" t="s">
        <v>15</v>
      </c>
      <c r="F135" s="16" t="s">
        <v>19</v>
      </c>
      <c r="G135" s="6">
        <v>20000</v>
      </c>
      <c r="H135" s="15"/>
      <c r="L135" s="6">
        <f>Table946[[#This Row],[Harga Satuan]]*Table946[[#This Row],[Stock Akhir]]</f>
        <v>0</v>
      </c>
    </row>
    <row r="136" spans="1:12" hidden="1" x14ac:dyDescent="0.25">
      <c r="A136" s="15" cm="1">
        <f t="array" ref="A136">ROW()-ROW(Table946[#Headers])</f>
        <v>131</v>
      </c>
      <c r="B136" s="16" t="s">
        <v>12</v>
      </c>
      <c r="C136" s="16" t="s">
        <v>240</v>
      </c>
      <c r="D136" s="16" t="s">
        <v>241</v>
      </c>
      <c r="E136" s="16" t="s">
        <v>15</v>
      </c>
      <c r="F136" s="16" t="s">
        <v>19</v>
      </c>
      <c r="G136" s="6">
        <v>10000</v>
      </c>
      <c r="H136" s="15"/>
      <c r="L136" s="6">
        <f>Table946[[#This Row],[Harga Satuan]]*Table946[[#This Row],[Stock Akhir]]</f>
        <v>0</v>
      </c>
    </row>
    <row r="137" spans="1:12" hidden="1" x14ac:dyDescent="0.25">
      <c r="A137" s="15" cm="1">
        <f t="array" ref="A137">ROW()-ROW(Table946[#Headers])</f>
        <v>132</v>
      </c>
      <c r="B137" s="16" t="s">
        <v>12</v>
      </c>
      <c r="C137" s="16" t="s">
        <v>242</v>
      </c>
      <c r="D137" s="16" t="s">
        <v>243</v>
      </c>
      <c r="E137" s="16" t="s">
        <v>15</v>
      </c>
      <c r="F137" s="16" t="s">
        <v>196</v>
      </c>
      <c r="G137" s="6">
        <v>75000</v>
      </c>
      <c r="H137" s="15"/>
      <c r="L137" s="6">
        <f>Table946[[#This Row],[Harga Satuan]]*Table946[[#This Row],[Stock Akhir]]</f>
        <v>0</v>
      </c>
    </row>
    <row r="138" spans="1:12" hidden="1" x14ac:dyDescent="0.25">
      <c r="A138" s="15" cm="1">
        <f t="array" ref="A138">ROW()-ROW(Table946[#Headers])</f>
        <v>133</v>
      </c>
      <c r="B138" s="16" t="s">
        <v>12</v>
      </c>
      <c r="C138" s="16" t="s">
        <v>244</v>
      </c>
      <c r="D138" s="16" t="s">
        <v>245</v>
      </c>
      <c r="E138" s="16" t="s">
        <v>15</v>
      </c>
      <c r="F138" s="16" t="s">
        <v>19</v>
      </c>
      <c r="G138" s="6">
        <v>166666</v>
      </c>
      <c r="H138" s="15"/>
      <c r="L138" s="6">
        <f>Table946[[#This Row],[Harga Satuan]]*Table946[[#This Row],[Stock Akhir]]</f>
        <v>0</v>
      </c>
    </row>
    <row r="139" spans="1:12" hidden="1" x14ac:dyDescent="0.25">
      <c r="A139" s="15" cm="1">
        <f t="array" ref="A139">ROW()-ROW(Table946[#Headers])</f>
        <v>134</v>
      </c>
      <c r="B139" s="16" t="s">
        <v>12</v>
      </c>
      <c r="C139" s="16" t="s">
        <v>246</v>
      </c>
      <c r="D139" s="16" t="s">
        <v>247</v>
      </c>
      <c r="E139" s="16" t="s">
        <v>15</v>
      </c>
      <c r="F139" s="16" t="s">
        <v>19</v>
      </c>
      <c r="G139" s="6">
        <v>9009</v>
      </c>
      <c r="H139" s="15"/>
      <c r="L139" s="6">
        <f>Table946[[#This Row],[Harga Satuan]]*Table946[[#This Row],[Stock Akhir]]</f>
        <v>0</v>
      </c>
    </row>
    <row r="140" spans="1:12" hidden="1" x14ac:dyDescent="0.25">
      <c r="A140" s="15" cm="1">
        <f t="array" ref="A140">ROW()-ROW(Table946[#Headers])</f>
        <v>135</v>
      </c>
      <c r="B140" s="16" t="s">
        <v>12</v>
      </c>
      <c r="C140" s="16" t="s">
        <v>248</v>
      </c>
      <c r="D140" s="16" t="s">
        <v>249</v>
      </c>
      <c r="E140" s="16" t="s">
        <v>15</v>
      </c>
      <c r="F140" s="16" t="s">
        <v>250</v>
      </c>
      <c r="G140" s="6">
        <v>32500</v>
      </c>
      <c r="H140" s="15"/>
      <c r="L140" s="6">
        <f>Table946[[#This Row],[Harga Satuan]]*Table946[[#This Row],[Stock Akhir]]</f>
        <v>0</v>
      </c>
    </row>
    <row r="141" spans="1:12" hidden="1" x14ac:dyDescent="0.25">
      <c r="A141" s="15" cm="1">
        <f t="array" ref="A141">ROW()-ROW(Table946[#Headers])</f>
        <v>136</v>
      </c>
      <c r="B141" s="16"/>
      <c r="C141" s="16" t="s">
        <v>251</v>
      </c>
      <c r="D141" s="16" t="s">
        <v>252</v>
      </c>
      <c r="E141" s="16" t="s">
        <v>15</v>
      </c>
      <c r="F141" s="16" t="s">
        <v>250</v>
      </c>
      <c r="G141" s="6">
        <v>16000</v>
      </c>
      <c r="H141" s="15"/>
      <c r="L141" s="6">
        <f>Table946[[#This Row],[Harga Satuan]]*Table946[[#This Row],[Stock Akhir]]</f>
        <v>0</v>
      </c>
    </row>
    <row r="142" spans="1:12" hidden="1" x14ac:dyDescent="0.25">
      <c r="A142" s="5" cm="1">
        <f t="array" ref="A142">ROW()-ROW(Table946[#Headers])</f>
        <v>137</v>
      </c>
      <c r="B142" s="4" t="s">
        <v>12</v>
      </c>
      <c r="D142" s="4" t="s">
        <v>253</v>
      </c>
      <c r="E142" s="4" t="s">
        <v>15</v>
      </c>
      <c r="F142" s="4" t="s">
        <v>250</v>
      </c>
      <c r="G142" s="6">
        <v>20000</v>
      </c>
      <c r="L142" s="6">
        <f>Table946[[#This Row],[Harga Satuan]]*Table946[[#This Row],[Stock Akhir]]</f>
        <v>0</v>
      </c>
    </row>
    <row r="143" spans="1:12" hidden="1" x14ac:dyDescent="0.25">
      <c r="A143" s="15" cm="1">
        <f t="array" ref="A143">ROW()-ROW(Table946[#Headers])</f>
        <v>138</v>
      </c>
      <c r="B143" s="16" t="s">
        <v>12</v>
      </c>
      <c r="C143" s="16" t="s">
        <v>254</v>
      </c>
      <c r="D143" s="16" t="s">
        <v>255</v>
      </c>
      <c r="E143" s="16" t="s">
        <v>15</v>
      </c>
      <c r="F143" s="16" t="s">
        <v>19</v>
      </c>
      <c r="G143" s="6">
        <v>3500</v>
      </c>
      <c r="H143" s="15"/>
      <c r="L143" s="6">
        <f>Table946[[#This Row],[Harga Satuan]]*Table946[[#This Row],[Stock Akhir]]</f>
        <v>0</v>
      </c>
    </row>
    <row r="144" spans="1:12" hidden="1" x14ac:dyDescent="0.25">
      <c r="A144" s="15" cm="1">
        <f t="array" ref="A144">ROW()-ROW(Table946[#Headers])</f>
        <v>139</v>
      </c>
      <c r="B144" s="16" t="s">
        <v>12</v>
      </c>
      <c r="C144" s="16" t="s">
        <v>256</v>
      </c>
      <c r="D144" s="16" t="s">
        <v>257</v>
      </c>
      <c r="E144" s="16" t="s">
        <v>15</v>
      </c>
      <c r="F144" s="16" t="s">
        <v>19</v>
      </c>
      <c r="G144" s="6">
        <v>67567</v>
      </c>
      <c r="H144" s="15"/>
      <c r="L144" s="6">
        <f>Table946[[#This Row],[Harga Satuan]]*Table946[[#This Row],[Stock Akhir]]</f>
        <v>0</v>
      </c>
    </row>
    <row r="145" spans="1:12" hidden="1" x14ac:dyDescent="0.25">
      <c r="A145" s="15" cm="1">
        <f t="array" ref="A145">ROW()-ROW(Table946[#Headers])</f>
        <v>140</v>
      </c>
      <c r="B145" s="16" t="s">
        <v>12</v>
      </c>
      <c r="C145" s="16" t="s">
        <v>258</v>
      </c>
      <c r="D145" s="16" t="s">
        <v>259</v>
      </c>
      <c r="E145" s="16" t="s">
        <v>15</v>
      </c>
      <c r="F145" s="16" t="s">
        <v>30</v>
      </c>
      <c r="G145" s="6">
        <v>90090</v>
      </c>
      <c r="H145" s="15"/>
      <c r="L145" s="6">
        <f>Table946[[#This Row],[Harga Satuan]]*Table946[[#This Row],[Stock Akhir]]</f>
        <v>0</v>
      </c>
    </row>
    <row r="146" spans="1:12" hidden="1" x14ac:dyDescent="0.25">
      <c r="A146" s="15" cm="1">
        <f t="array" ref="A146">ROW()-ROW(Table946[#Headers])</f>
        <v>141</v>
      </c>
      <c r="B146" s="16" t="s">
        <v>12</v>
      </c>
      <c r="C146" s="16" t="s">
        <v>260</v>
      </c>
      <c r="D146" s="16" t="s">
        <v>261</v>
      </c>
      <c r="E146" s="16" t="s">
        <v>15</v>
      </c>
      <c r="F146" s="16" t="s">
        <v>19</v>
      </c>
      <c r="G146" s="6">
        <v>0</v>
      </c>
      <c r="H146" s="15"/>
      <c r="L146" s="6">
        <f>Table946[[#This Row],[Harga Satuan]]*Table946[[#This Row],[Stock Akhir]]</f>
        <v>0</v>
      </c>
    </row>
    <row r="147" spans="1:12" hidden="1" x14ac:dyDescent="0.25">
      <c r="A147" s="15" cm="1">
        <f t="array" ref="A147">ROW()-ROW(Table946[#Headers])</f>
        <v>142</v>
      </c>
      <c r="B147" s="16" t="s">
        <v>12</v>
      </c>
      <c r="C147" s="16" t="s">
        <v>262</v>
      </c>
      <c r="D147" s="16" t="s">
        <v>263</v>
      </c>
      <c r="E147" s="16" t="s">
        <v>15</v>
      </c>
      <c r="F147" s="16" t="s">
        <v>19</v>
      </c>
      <c r="G147" s="6">
        <v>13513</v>
      </c>
      <c r="H147" s="15"/>
      <c r="L147" s="6">
        <f>Table946[[#This Row],[Harga Satuan]]*Table946[[#This Row],[Stock Akhir]]</f>
        <v>0</v>
      </c>
    </row>
    <row r="148" spans="1:12" hidden="1" x14ac:dyDescent="0.25">
      <c r="A148" s="15" cm="1">
        <f t="array" ref="A148">ROW()-ROW(Table946[#Headers])</f>
        <v>143</v>
      </c>
      <c r="B148" s="16" t="s">
        <v>12</v>
      </c>
      <c r="C148" s="16" t="s">
        <v>264</v>
      </c>
      <c r="D148" s="16" t="s">
        <v>265</v>
      </c>
      <c r="E148" s="16" t="s">
        <v>15</v>
      </c>
      <c r="F148" s="16" t="s">
        <v>19</v>
      </c>
      <c r="G148" s="6">
        <v>5000</v>
      </c>
      <c r="H148" s="15"/>
      <c r="L148" s="6">
        <f>Table946[[#This Row],[Harga Satuan]]*Table946[[#This Row],[Stock Akhir]]</f>
        <v>0</v>
      </c>
    </row>
    <row r="149" spans="1:12" hidden="1" x14ac:dyDescent="0.25">
      <c r="A149" s="15" cm="1">
        <f t="array" ref="A149">ROW()-ROW(Table946[#Headers])</f>
        <v>144</v>
      </c>
      <c r="B149" s="16" t="s">
        <v>12</v>
      </c>
      <c r="C149" s="16" t="s">
        <v>266</v>
      </c>
      <c r="D149" s="16" t="s">
        <v>267</v>
      </c>
      <c r="E149" s="16" t="s">
        <v>15</v>
      </c>
      <c r="F149" s="16" t="s">
        <v>19</v>
      </c>
      <c r="G149" s="6">
        <v>225000</v>
      </c>
      <c r="H149" s="15"/>
      <c r="L149" s="6">
        <f>Table946[[#This Row],[Harga Satuan]]*Table946[[#This Row],[Stock Akhir]]</f>
        <v>0</v>
      </c>
    </row>
    <row r="150" spans="1:12" hidden="1" x14ac:dyDescent="0.25">
      <c r="A150" s="5" cm="1">
        <f t="array" ref="A150">ROW()-ROW(Table946[#Headers])</f>
        <v>145</v>
      </c>
      <c r="B150" s="4" t="s">
        <v>12</v>
      </c>
      <c r="D150" s="4" t="s">
        <v>268</v>
      </c>
      <c r="E150" s="4" t="s">
        <v>15</v>
      </c>
      <c r="F150" s="4" t="s">
        <v>19</v>
      </c>
      <c r="G150" s="6">
        <v>45000</v>
      </c>
      <c r="L150" s="6">
        <f>Table946[[#This Row],[Harga Satuan]]*Table946[[#This Row],[Stock Akhir]]</f>
        <v>0</v>
      </c>
    </row>
    <row r="151" spans="1:12" hidden="1" x14ac:dyDescent="0.25">
      <c r="A151" s="5" cm="1">
        <f t="array" ref="A151">ROW()-ROW(Table946[#Headers])</f>
        <v>146</v>
      </c>
      <c r="B151" s="4" t="s">
        <v>12</v>
      </c>
      <c r="D151" s="4" t="s">
        <v>269</v>
      </c>
      <c r="E151" s="4" t="s">
        <v>15</v>
      </c>
      <c r="F151" s="4" t="s">
        <v>19</v>
      </c>
      <c r="G151" s="6">
        <v>22522</v>
      </c>
      <c r="L151" s="6">
        <f>Table946[[#This Row],[Harga Satuan]]*Table946[[#This Row],[Stock Akhir]]</f>
        <v>0</v>
      </c>
    </row>
    <row r="152" spans="1:12" hidden="1" x14ac:dyDescent="0.25">
      <c r="A152" s="5" cm="1">
        <f t="array" ref="A152">ROW()-ROW(Table946[#Headers])</f>
        <v>147</v>
      </c>
      <c r="B152" s="4" t="s">
        <v>12</v>
      </c>
      <c r="D152" s="4" t="s">
        <v>270</v>
      </c>
      <c r="E152" s="4" t="s">
        <v>15</v>
      </c>
      <c r="F152" s="4" t="s">
        <v>19</v>
      </c>
      <c r="G152" s="6">
        <v>22523</v>
      </c>
      <c r="L152" s="6">
        <f>Table946[[#This Row],[Harga Satuan]]*Table946[[#This Row],[Stock Akhir]]</f>
        <v>0</v>
      </c>
    </row>
    <row r="153" spans="1:12" hidden="1" x14ac:dyDescent="0.25">
      <c r="A153" s="5" cm="1">
        <f t="array" ref="A153">ROW()-ROW(Table946[#Headers])</f>
        <v>148</v>
      </c>
      <c r="B153" s="4" t="s">
        <v>12</v>
      </c>
      <c r="D153" s="4" t="s">
        <v>271</v>
      </c>
      <c r="E153" s="4" t="s">
        <v>15</v>
      </c>
      <c r="F153" s="4" t="s">
        <v>19</v>
      </c>
      <c r="G153" s="6">
        <v>67568</v>
      </c>
      <c r="L153" s="6">
        <f>Table946[[#This Row],[Harga Satuan]]*Table946[[#This Row],[Stock Akhir]]</f>
        <v>0</v>
      </c>
    </row>
    <row r="154" spans="1:12" hidden="1" x14ac:dyDescent="0.25">
      <c r="A154" s="5" cm="1">
        <f t="array" ref="A154">ROW()-ROW(Table946[#Headers])</f>
        <v>149</v>
      </c>
      <c r="D154" s="4" t="s">
        <v>272</v>
      </c>
      <c r="E154" s="4" t="s">
        <v>15</v>
      </c>
      <c r="F154" s="4" t="s">
        <v>19</v>
      </c>
      <c r="G154" s="6">
        <v>35000</v>
      </c>
      <c r="L154" s="6">
        <f>Table946[[#This Row],[Harga Satuan]]*Table946[[#This Row],[Stock Akhir]]</f>
        <v>0</v>
      </c>
    </row>
    <row r="155" spans="1:12" hidden="1" x14ac:dyDescent="0.25">
      <c r="A155" s="5" cm="1">
        <f t="array" ref="A155">ROW()-ROW(Table946[#Headers])</f>
        <v>150</v>
      </c>
      <c r="D155" s="4" t="s">
        <v>273</v>
      </c>
      <c r="E155" s="4" t="s">
        <v>15</v>
      </c>
      <c r="F155" s="4" t="s">
        <v>19</v>
      </c>
      <c r="G155" s="6">
        <v>35000</v>
      </c>
      <c r="L155" s="6">
        <f>Table946[[#This Row],[Harga Satuan]]*Table946[[#This Row],[Stock Akhir]]</f>
        <v>0</v>
      </c>
    </row>
    <row r="156" spans="1:12" hidden="1" x14ac:dyDescent="0.25">
      <c r="A156" s="5" cm="1">
        <f t="array" ref="A156">ROW()-ROW(Table946[#Headers])</f>
        <v>151</v>
      </c>
      <c r="D156" s="4" t="s">
        <v>274</v>
      </c>
      <c r="E156" s="4" t="s">
        <v>15</v>
      </c>
      <c r="F156" s="4" t="s">
        <v>19</v>
      </c>
      <c r="G156" s="6">
        <v>45000</v>
      </c>
      <c r="L156" s="6">
        <f>Table946[[#This Row],[Harga Satuan]]*Table946[[#This Row],[Stock Akhir]]</f>
        <v>0</v>
      </c>
    </row>
    <row r="157" spans="1:12" hidden="1" x14ac:dyDescent="0.25">
      <c r="A157" s="5" cm="1">
        <f t="array" ref="A157">ROW()-ROW(Table946[#Headers])</f>
        <v>152</v>
      </c>
      <c r="D157" s="4" t="s">
        <v>275</v>
      </c>
      <c r="E157" s="4" t="s">
        <v>15</v>
      </c>
      <c r="F157" s="4" t="s">
        <v>19</v>
      </c>
      <c r="G157" s="6">
        <v>45000</v>
      </c>
      <c r="L157" s="6">
        <f>Table946[[#This Row],[Harga Satuan]]*Table946[[#This Row],[Stock Akhir]]</f>
        <v>0</v>
      </c>
    </row>
    <row r="158" spans="1:12" hidden="1" x14ac:dyDescent="0.25">
      <c r="A158" s="15" cm="1">
        <f t="array" ref="A158">ROW()-ROW(Table946[#Headers])</f>
        <v>153</v>
      </c>
      <c r="B158" s="16" t="s">
        <v>12</v>
      </c>
      <c r="C158" s="16" t="s">
        <v>276</v>
      </c>
      <c r="D158" s="16" t="s">
        <v>277</v>
      </c>
      <c r="E158" s="16" t="s">
        <v>15</v>
      </c>
      <c r="F158" s="16" t="s">
        <v>30</v>
      </c>
      <c r="G158" s="6">
        <v>17500</v>
      </c>
      <c r="H158" s="15"/>
      <c r="L158" s="6">
        <f>Table946[[#This Row],[Harga Satuan]]*Table946[[#This Row],[Stock Akhir]]</f>
        <v>0</v>
      </c>
    </row>
    <row r="159" spans="1:12" hidden="1" x14ac:dyDescent="0.25">
      <c r="A159" s="15" cm="1">
        <f t="array" ref="A159">ROW()-ROW(Table946[#Headers])</f>
        <v>154</v>
      </c>
      <c r="B159" s="16" t="s">
        <v>12</v>
      </c>
      <c r="C159" s="16" t="s">
        <v>278</v>
      </c>
      <c r="D159" s="16" t="s">
        <v>279</v>
      </c>
      <c r="E159" s="16" t="s">
        <v>15</v>
      </c>
      <c r="F159" s="16" t="s">
        <v>30</v>
      </c>
      <c r="G159" s="6">
        <v>9500</v>
      </c>
      <c r="H159" s="15"/>
      <c r="L159" s="6">
        <f>Table946[[#This Row],[Harga Satuan]]*Table946[[#This Row],[Stock Akhir]]</f>
        <v>0</v>
      </c>
    </row>
    <row r="160" spans="1:12" hidden="1" x14ac:dyDescent="0.25">
      <c r="A160" s="20" cm="1">
        <f t="array" ref="A160">ROW()-ROW(Table946[#Headers])</f>
        <v>155</v>
      </c>
      <c r="B160" s="21" t="s">
        <v>12</v>
      </c>
      <c r="C160" s="21" t="s">
        <v>280</v>
      </c>
      <c r="D160" s="21" t="s">
        <v>281</v>
      </c>
      <c r="E160" s="21" t="s">
        <v>15</v>
      </c>
      <c r="F160" s="21" t="s">
        <v>19</v>
      </c>
      <c r="G160" s="6">
        <v>3378</v>
      </c>
      <c r="H160" s="20"/>
      <c r="L160" s="6">
        <f>Table946[[#This Row],[Harga Satuan]]*Table946[[#This Row],[Stock Akhir]]</f>
        <v>0</v>
      </c>
    </row>
    <row r="161" spans="1:12" hidden="1" x14ac:dyDescent="0.25">
      <c r="A161" s="15" cm="1">
        <f t="array" ref="A161">ROW()-ROW(Table946[#Headers])</f>
        <v>156</v>
      </c>
      <c r="B161" s="16" t="s">
        <v>282</v>
      </c>
      <c r="C161" s="18" t="s">
        <v>283</v>
      </c>
      <c r="D161" s="19" t="s">
        <v>284</v>
      </c>
      <c r="E161" s="16" t="s">
        <v>15</v>
      </c>
      <c r="F161" s="16" t="s">
        <v>19</v>
      </c>
      <c r="G161" s="6">
        <v>55000</v>
      </c>
      <c r="H161" s="15"/>
      <c r="L161" s="6">
        <f>Table946[[#This Row],[Harga Satuan]]*Table946[[#This Row],[Stock Akhir]]</f>
        <v>0</v>
      </c>
    </row>
    <row r="162" spans="1:12" hidden="1" x14ac:dyDescent="0.25">
      <c r="A162" s="15" cm="1">
        <f t="array" ref="A162">ROW()-ROW(Table946[#Headers])</f>
        <v>157</v>
      </c>
      <c r="B162" s="16" t="s">
        <v>282</v>
      </c>
      <c r="C162" s="18" t="s">
        <v>285</v>
      </c>
      <c r="D162" s="19" t="s">
        <v>286</v>
      </c>
      <c r="E162" s="16" t="s">
        <v>15</v>
      </c>
      <c r="F162" s="16" t="s">
        <v>19</v>
      </c>
      <c r="G162" s="6">
        <v>47500</v>
      </c>
      <c r="H162" s="15"/>
      <c r="L162" s="6">
        <f>Table946[[#This Row],[Harga Satuan]]*Table946[[#This Row],[Stock Akhir]]</f>
        <v>0</v>
      </c>
    </row>
    <row r="163" spans="1:12" hidden="1" x14ac:dyDescent="0.25">
      <c r="A163" s="15" cm="1">
        <f t="array" ref="A163">ROW()-ROW(Table946[#Headers])</f>
        <v>158</v>
      </c>
      <c r="B163" s="16" t="s">
        <v>282</v>
      </c>
      <c r="C163" s="16" t="s">
        <v>287</v>
      </c>
      <c r="D163" s="16" t="s">
        <v>288</v>
      </c>
      <c r="E163" s="16" t="s">
        <v>15</v>
      </c>
      <c r="F163" s="16" t="s">
        <v>19</v>
      </c>
      <c r="G163" s="6">
        <v>75000</v>
      </c>
      <c r="H163" s="15"/>
      <c r="L163" s="6">
        <f>Table946[[#This Row],[Harga Satuan]]*Table946[[#This Row],[Stock Akhir]]</f>
        <v>0</v>
      </c>
    </row>
    <row r="164" spans="1:12" hidden="1" x14ac:dyDescent="0.25">
      <c r="A164" s="15" cm="1">
        <f t="array" ref="A164">ROW()-ROW(Table946[#Headers])</f>
        <v>159</v>
      </c>
      <c r="B164" s="16" t="s">
        <v>282</v>
      </c>
      <c r="C164" s="18" t="s">
        <v>289</v>
      </c>
      <c r="D164" s="19" t="s">
        <v>290</v>
      </c>
      <c r="E164" s="16" t="s">
        <v>15</v>
      </c>
      <c r="F164" s="16" t="s">
        <v>30</v>
      </c>
      <c r="G164" s="6">
        <v>15700</v>
      </c>
      <c r="H164" s="15"/>
      <c r="L164" s="6">
        <f>Table946[[#This Row],[Harga Satuan]]*Table946[[#This Row],[Stock Akhir]]</f>
        <v>0</v>
      </c>
    </row>
    <row r="165" spans="1:12" hidden="1" x14ac:dyDescent="0.25">
      <c r="A165" s="15" cm="1">
        <f t="array" ref="A165">ROW()-ROW(Table946[#Headers])</f>
        <v>160</v>
      </c>
      <c r="B165" s="16" t="s">
        <v>282</v>
      </c>
      <c r="C165" s="18" t="s">
        <v>291</v>
      </c>
      <c r="D165" s="19" t="s">
        <v>292</v>
      </c>
      <c r="E165" s="16" t="s">
        <v>15</v>
      </c>
      <c r="F165" s="16" t="s">
        <v>30</v>
      </c>
      <c r="G165" s="6">
        <v>15700</v>
      </c>
      <c r="H165" s="15"/>
      <c r="L165" s="6">
        <f>Table946[[#This Row],[Harga Satuan]]*Table946[[#This Row],[Stock Akhir]]</f>
        <v>0</v>
      </c>
    </row>
    <row r="166" spans="1:12" hidden="1" x14ac:dyDescent="0.25">
      <c r="A166" s="15" cm="1">
        <f t="array" ref="A166">ROW()-ROW(Table946[#Headers])</f>
        <v>161</v>
      </c>
      <c r="B166" s="16"/>
      <c r="C166" s="16" t="s">
        <v>293</v>
      </c>
      <c r="D166" s="16" t="s">
        <v>294</v>
      </c>
      <c r="E166" s="16" t="s">
        <v>15</v>
      </c>
      <c r="F166" s="16" t="s">
        <v>19</v>
      </c>
      <c r="G166" s="6">
        <v>1250</v>
      </c>
      <c r="H166" s="15"/>
      <c r="L166" s="6">
        <f>Table946[[#This Row],[Harga Satuan]]*Table946[[#This Row],[Stock Akhir]]</f>
        <v>0</v>
      </c>
    </row>
    <row r="167" spans="1:12" hidden="1" x14ac:dyDescent="0.25">
      <c r="A167" s="15" cm="1">
        <f t="array" ref="A167">ROW()-ROW(Table946[#Headers])</f>
        <v>162</v>
      </c>
      <c r="B167" s="16"/>
      <c r="C167" s="16" t="s">
        <v>295</v>
      </c>
      <c r="D167" s="16" t="s">
        <v>296</v>
      </c>
      <c r="E167" s="16" t="s">
        <v>15</v>
      </c>
      <c r="F167" s="16" t="s">
        <v>19</v>
      </c>
      <c r="G167" s="6">
        <v>1350</v>
      </c>
      <c r="H167" s="15"/>
      <c r="L167" s="6">
        <f>Table946[[#This Row],[Harga Satuan]]*Table946[[#This Row],[Stock Akhir]]</f>
        <v>0</v>
      </c>
    </row>
    <row r="168" spans="1:12" hidden="1" x14ac:dyDescent="0.25">
      <c r="A168" s="15" cm="1">
        <f t="array" ref="A168">ROW()-ROW(Table946[#Headers])</f>
        <v>163</v>
      </c>
      <c r="B168" s="16" t="s">
        <v>282</v>
      </c>
      <c r="C168" s="18" t="s">
        <v>297</v>
      </c>
      <c r="D168" s="19" t="s">
        <v>298</v>
      </c>
      <c r="E168" s="16" t="s">
        <v>15</v>
      </c>
      <c r="F168" s="16" t="s">
        <v>19</v>
      </c>
      <c r="G168" s="6">
        <v>0</v>
      </c>
      <c r="H168" s="15"/>
      <c r="L168" s="6">
        <f>Table946[[#This Row],[Harga Satuan]]*Table946[[#This Row],[Stock Akhir]]</f>
        <v>0</v>
      </c>
    </row>
    <row r="169" spans="1:12" hidden="1" x14ac:dyDescent="0.25">
      <c r="A169" s="15" cm="1">
        <f t="array" ref="A169">ROW()-ROW(Table946[#Headers])</f>
        <v>164</v>
      </c>
      <c r="B169" s="16" t="s">
        <v>282</v>
      </c>
      <c r="C169" s="16" t="s">
        <v>299</v>
      </c>
      <c r="D169" s="16" t="s">
        <v>300</v>
      </c>
      <c r="E169" s="16" t="s">
        <v>15</v>
      </c>
      <c r="F169" s="16" t="s">
        <v>19</v>
      </c>
      <c r="G169" s="6">
        <v>0</v>
      </c>
      <c r="H169" s="15"/>
      <c r="L169" s="6">
        <f>Table946[[#This Row],[Harga Satuan]]*Table946[[#This Row],[Stock Akhir]]</f>
        <v>0</v>
      </c>
    </row>
    <row r="170" spans="1:12" hidden="1" x14ac:dyDescent="0.25">
      <c r="A170" s="15" cm="1">
        <f t="array" ref="A170">ROW()-ROW(Table946[#Headers])</f>
        <v>165</v>
      </c>
      <c r="B170" s="16" t="s">
        <v>282</v>
      </c>
      <c r="C170" s="18" t="s">
        <v>301</v>
      </c>
      <c r="D170" s="19" t="s">
        <v>302</v>
      </c>
      <c r="E170" s="16" t="s">
        <v>15</v>
      </c>
      <c r="F170" s="16" t="s">
        <v>19</v>
      </c>
      <c r="G170" s="6">
        <v>0</v>
      </c>
      <c r="H170" s="15"/>
      <c r="L170" s="6">
        <f>Table946[[#This Row],[Harga Satuan]]*Table946[[#This Row],[Stock Akhir]]</f>
        <v>0</v>
      </c>
    </row>
    <row r="171" spans="1:12" hidden="1" x14ac:dyDescent="0.25">
      <c r="A171" s="15" cm="1">
        <f t="array" ref="A171">ROW()-ROW(Table946[#Headers])</f>
        <v>166</v>
      </c>
      <c r="B171" s="16" t="s">
        <v>282</v>
      </c>
      <c r="C171" s="16" t="s">
        <v>303</v>
      </c>
      <c r="D171" s="16" t="s">
        <v>304</v>
      </c>
      <c r="E171" s="16" t="s">
        <v>15</v>
      </c>
      <c r="F171" s="16" t="s">
        <v>30</v>
      </c>
      <c r="G171" s="6">
        <v>1350</v>
      </c>
      <c r="H171" s="15"/>
      <c r="L171" s="6">
        <f>Table946[[#This Row],[Harga Satuan]]*Table946[[#This Row],[Stock Akhir]]</f>
        <v>0</v>
      </c>
    </row>
    <row r="172" spans="1:12" hidden="1" x14ac:dyDescent="0.25">
      <c r="A172" s="15" cm="1">
        <f t="array" ref="A172">ROW()-ROW(Table946[#Headers])</f>
        <v>167</v>
      </c>
      <c r="B172" s="16" t="s">
        <v>282</v>
      </c>
      <c r="C172" s="16" t="s">
        <v>295</v>
      </c>
      <c r="D172" s="16" t="s">
        <v>305</v>
      </c>
      <c r="E172" s="16" t="s">
        <v>15</v>
      </c>
      <c r="F172" s="16" t="s">
        <v>30</v>
      </c>
      <c r="G172" s="6">
        <v>1350</v>
      </c>
      <c r="H172" s="15"/>
      <c r="L172" s="6">
        <f>Table946[[#This Row],[Harga Satuan]]*Table946[[#This Row],[Stock Akhir]]</f>
        <v>0</v>
      </c>
    </row>
    <row r="173" spans="1:12" hidden="1" x14ac:dyDescent="0.25">
      <c r="A173" s="15" cm="1">
        <f t="array" ref="A173">ROW()-ROW(Table946[#Headers])</f>
        <v>168</v>
      </c>
      <c r="B173" s="16" t="s">
        <v>282</v>
      </c>
      <c r="C173" s="16" t="s">
        <v>306</v>
      </c>
      <c r="D173" s="16" t="s">
        <v>307</v>
      </c>
      <c r="E173" s="16" t="s">
        <v>15</v>
      </c>
      <c r="F173" s="16" t="s">
        <v>30</v>
      </c>
      <c r="G173" s="6">
        <v>850</v>
      </c>
      <c r="H173" s="15"/>
      <c r="L173" s="6">
        <f>Table946[[#This Row],[Harga Satuan]]*Table946[[#This Row],[Stock Akhir]]</f>
        <v>0</v>
      </c>
    </row>
    <row r="174" spans="1:12" hidden="1" x14ac:dyDescent="0.25">
      <c r="A174" s="15" cm="1">
        <f t="array" ref="A174">ROW()-ROW(Table946[#Headers])</f>
        <v>169</v>
      </c>
      <c r="B174" s="16" t="s">
        <v>282</v>
      </c>
      <c r="C174" s="16" t="s">
        <v>308</v>
      </c>
      <c r="D174" s="16" t="s">
        <v>309</v>
      </c>
      <c r="E174" s="16" t="s">
        <v>15</v>
      </c>
      <c r="F174" s="16" t="s">
        <v>30</v>
      </c>
      <c r="G174" s="6">
        <v>0</v>
      </c>
      <c r="H174" s="15"/>
      <c r="L174" s="6">
        <f>Table946[[#This Row],[Harga Satuan]]*Table946[[#This Row],[Stock Akhir]]</f>
        <v>0</v>
      </c>
    </row>
    <row r="175" spans="1:12" hidden="1" x14ac:dyDescent="0.25">
      <c r="A175" s="15" cm="1">
        <f t="array" ref="A175">ROW()-ROW(Table946[#Headers])</f>
        <v>170</v>
      </c>
      <c r="B175" s="16" t="s">
        <v>282</v>
      </c>
      <c r="C175" s="18" t="s">
        <v>310</v>
      </c>
      <c r="D175" s="19" t="s">
        <v>311</v>
      </c>
      <c r="E175" s="16" t="s">
        <v>15</v>
      </c>
      <c r="F175" s="16" t="s">
        <v>19</v>
      </c>
      <c r="G175" s="6">
        <v>0</v>
      </c>
      <c r="H175" s="15"/>
      <c r="L175" s="6">
        <f>Table946[[#This Row],[Harga Satuan]]*Table946[[#This Row],[Stock Akhir]]</f>
        <v>0</v>
      </c>
    </row>
    <row r="176" spans="1:12" hidden="1" x14ac:dyDescent="0.25">
      <c r="A176" s="15" cm="1">
        <f t="array" ref="A176">ROW()-ROW(Table946[#Headers])</f>
        <v>171</v>
      </c>
      <c r="B176" s="16" t="s">
        <v>282</v>
      </c>
      <c r="C176" s="16" t="s">
        <v>312</v>
      </c>
      <c r="D176" s="16" t="s">
        <v>313</v>
      </c>
      <c r="E176" s="16" t="s">
        <v>15</v>
      </c>
      <c r="F176" s="16" t="s">
        <v>19</v>
      </c>
      <c r="G176" s="6">
        <v>1675000</v>
      </c>
      <c r="H176" s="15"/>
      <c r="L176" s="6">
        <f>Table946[[#This Row],[Harga Satuan]]*Table946[[#This Row],[Stock Akhir]]</f>
        <v>0</v>
      </c>
    </row>
    <row r="177" spans="1:12" hidden="1" x14ac:dyDescent="0.25">
      <c r="A177" s="15" cm="1">
        <f t="array" ref="A177">ROW()-ROW(Table946[#Headers])</f>
        <v>172</v>
      </c>
      <c r="B177" s="16" t="s">
        <v>282</v>
      </c>
      <c r="C177" s="18" t="s">
        <v>314</v>
      </c>
      <c r="D177" s="19" t="s">
        <v>315</v>
      </c>
      <c r="E177" s="16" t="s">
        <v>15</v>
      </c>
      <c r="F177" s="16" t="s">
        <v>30</v>
      </c>
      <c r="G177" s="6">
        <v>3500</v>
      </c>
      <c r="H177" s="15"/>
      <c r="L177" s="6">
        <f>Table946[[#This Row],[Harga Satuan]]*Table946[[#This Row],[Stock Akhir]]</f>
        <v>0</v>
      </c>
    </row>
    <row r="178" spans="1:12" hidden="1" x14ac:dyDescent="0.25">
      <c r="A178" s="15" cm="1">
        <f t="array" ref="A178">ROW()-ROW(Table946[#Headers])</f>
        <v>173</v>
      </c>
      <c r="B178" s="16" t="s">
        <v>282</v>
      </c>
      <c r="C178" s="18" t="s">
        <v>316</v>
      </c>
      <c r="D178" s="19" t="s">
        <v>317</v>
      </c>
      <c r="E178" s="16" t="s">
        <v>15</v>
      </c>
      <c r="F178" s="16" t="s">
        <v>30</v>
      </c>
      <c r="G178" s="6">
        <v>3500</v>
      </c>
      <c r="H178" s="15"/>
      <c r="L178" s="6">
        <f>Table946[[#This Row],[Harga Satuan]]*Table946[[#This Row],[Stock Akhir]]</f>
        <v>0</v>
      </c>
    </row>
    <row r="179" spans="1:12" hidden="1" x14ac:dyDescent="0.25">
      <c r="A179" s="15" cm="1">
        <f t="array" ref="A179">ROW()-ROW(Table946[#Headers])</f>
        <v>174</v>
      </c>
      <c r="B179" s="16" t="s">
        <v>282</v>
      </c>
      <c r="C179" s="18" t="s">
        <v>318</v>
      </c>
      <c r="D179" s="19" t="s">
        <v>319</v>
      </c>
      <c r="E179" s="16" t="s">
        <v>15</v>
      </c>
      <c r="F179" s="16" t="s">
        <v>30</v>
      </c>
      <c r="G179" s="6">
        <v>3500</v>
      </c>
      <c r="H179" s="15"/>
      <c r="L179" s="6">
        <f>Table946[[#This Row],[Harga Satuan]]*Table946[[#This Row],[Stock Akhir]]</f>
        <v>0</v>
      </c>
    </row>
    <row r="180" spans="1:12" hidden="1" x14ac:dyDescent="0.25">
      <c r="A180" s="15" cm="1">
        <f t="array" ref="A180">ROW()-ROW(Table946[#Headers])</f>
        <v>175</v>
      </c>
      <c r="B180" s="16" t="s">
        <v>282</v>
      </c>
      <c r="C180" s="18" t="s">
        <v>320</v>
      </c>
      <c r="D180" s="19" t="s">
        <v>321</v>
      </c>
      <c r="E180" s="16" t="s">
        <v>15</v>
      </c>
      <c r="F180" s="16" t="s">
        <v>30</v>
      </c>
      <c r="G180" s="6">
        <v>3500</v>
      </c>
      <c r="H180" s="15"/>
      <c r="L180" s="6">
        <f>Table946[[#This Row],[Harga Satuan]]*Table946[[#This Row],[Stock Akhir]]</f>
        <v>0</v>
      </c>
    </row>
    <row r="181" spans="1:12" hidden="1" x14ac:dyDescent="0.25">
      <c r="A181" s="15" cm="1">
        <f t="array" ref="A181">ROW()-ROW(Table946[#Headers])</f>
        <v>176</v>
      </c>
      <c r="B181" s="16" t="s">
        <v>282</v>
      </c>
      <c r="C181" s="18" t="s">
        <v>322</v>
      </c>
      <c r="D181" s="19" t="s">
        <v>323</v>
      </c>
      <c r="E181" s="16" t="s">
        <v>15</v>
      </c>
      <c r="F181" s="16" t="s">
        <v>30</v>
      </c>
      <c r="G181" s="6">
        <v>3500</v>
      </c>
      <c r="H181" s="15"/>
      <c r="L181" s="6">
        <f>Table946[[#This Row],[Harga Satuan]]*Table946[[#This Row],[Stock Akhir]]</f>
        <v>0</v>
      </c>
    </row>
    <row r="182" spans="1:12" hidden="1" x14ac:dyDescent="0.25">
      <c r="A182" s="15" cm="1">
        <f t="array" ref="A182">ROW()-ROW(Table946[#Headers])</f>
        <v>177</v>
      </c>
      <c r="B182" s="16" t="s">
        <v>282</v>
      </c>
      <c r="C182" s="18" t="s">
        <v>324</v>
      </c>
      <c r="D182" s="19" t="s">
        <v>325</v>
      </c>
      <c r="E182" s="16" t="s">
        <v>15</v>
      </c>
      <c r="F182" s="16" t="s">
        <v>30</v>
      </c>
      <c r="G182" s="6">
        <v>3500</v>
      </c>
      <c r="H182" s="15"/>
      <c r="L182" s="6">
        <f>Table946[[#This Row],[Harga Satuan]]*Table946[[#This Row],[Stock Akhir]]</f>
        <v>0</v>
      </c>
    </row>
    <row r="183" spans="1:12" hidden="1" x14ac:dyDescent="0.25">
      <c r="A183" s="15" cm="1">
        <f t="array" ref="A183">ROW()-ROW(Table946[#Headers])</f>
        <v>178</v>
      </c>
      <c r="B183" s="16" t="s">
        <v>282</v>
      </c>
      <c r="C183" s="18" t="s">
        <v>326</v>
      </c>
      <c r="D183" s="19" t="s">
        <v>327</v>
      </c>
      <c r="E183" s="16" t="s">
        <v>15</v>
      </c>
      <c r="F183" s="16" t="s">
        <v>30</v>
      </c>
      <c r="G183" s="6">
        <v>3500</v>
      </c>
      <c r="H183" s="15"/>
      <c r="L183" s="6">
        <f>Table946[[#This Row],[Harga Satuan]]*Table946[[#This Row],[Stock Akhir]]</f>
        <v>0</v>
      </c>
    </row>
    <row r="184" spans="1:12" hidden="1" x14ac:dyDescent="0.25">
      <c r="A184" s="15" cm="1">
        <f t="array" ref="A184">ROW()-ROW(Table946[#Headers])</f>
        <v>179</v>
      </c>
      <c r="B184" s="16" t="s">
        <v>282</v>
      </c>
      <c r="C184" s="18" t="s">
        <v>328</v>
      </c>
      <c r="D184" s="19" t="s">
        <v>329</v>
      </c>
      <c r="E184" s="16" t="s">
        <v>15</v>
      </c>
      <c r="F184" s="16" t="s">
        <v>30</v>
      </c>
      <c r="G184" s="6">
        <v>3500</v>
      </c>
      <c r="H184" s="15"/>
      <c r="L184" s="6">
        <f>Table946[[#This Row],[Harga Satuan]]*Table946[[#This Row],[Stock Akhir]]</f>
        <v>0</v>
      </c>
    </row>
    <row r="185" spans="1:12" hidden="1" x14ac:dyDescent="0.25">
      <c r="A185" s="15" cm="1">
        <f t="array" ref="A185">ROW()-ROW(Table946[#Headers])</f>
        <v>180</v>
      </c>
      <c r="B185" s="16" t="s">
        <v>282</v>
      </c>
      <c r="C185" s="18" t="s">
        <v>330</v>
      </c>
      <c r="D185" s="19" t="s">
        <v>331</v>
      </c>
      <c r="E185" s="16" t="s">
        <v>15</v>
      </c>
      <c r="F185" s="16" t="s">
        <v>30</v>
      </c>
      <c r="G185" s="6">
        <v>3500</v>
      </c>
      <c r="H185" s="15"/>
      <c r="L185" s="6">
        <f>Table946[[#This Row],[Harga Satuan]]*Table946[[#This Row],[Stock Akhir]]</f>
        <v>0</v>
      </c>
    </row>
    <row r="186" spans="1:12" hidden="1" x14ac:dyDescent="0.25">
      <c r="A186" s="15" cm="1">
        <f t="array" ref="A186">ROW()-ROW(Table946[#Headers])</f>
        <v>181</v>
      </c>
      <c r="B186" s="16" t="s">
        <v>282</v>
      </c>
      <c r="C186" s="18" t="s">
        <v>332</v>
      </c>
      <c r="D186" s="19" t="s">
        <v>333</v>
      </c>
      <c r="E186" s="16" t="s">
        <v>15</v>
      </c>
      <c r="F186" s="16" t="s">
        <v>30</v>
      </c>
      <c r="G186" s="6">
        <v>3500</v>
      </c>
      <c r="H186" s="15"/>
      <c r="L186" s="6">
        <f>Table946[[#This Row],[Harga Satuan]]*Table946[[#This Row],[Stock Akhir]]</f>
        <v>0</v>
      </c>
    </row>
    <row r="187" spans="1:12" hidden="1" x14ac:dyDescent="0.25">
      <c r="A187" s="15" cm="1">
        <f t="array" ref="A187">ROW()-ROW(Table946[#Headers])</f>
        <v>182</v>
      </c>
      <c r="B187" s="16" t="s">
        <v>282</v>
      </c>
      <c r="C187" s="18" t="s">
        <v>334</v>
      </c>
      <c r="D187" s="19" t="s">
        <v>335</v>
      </c>
      <c r="E187" s="16" t="s">
        <v>15</v>
      </c>
      <c r="F187" s="16" t="s">
        <v>30</v>
      </c>
      <c r="G187" s="6">
        <v>3500</v>
      </c>
      <c r="H187" s="15"/>
      <c r="L187" s="6">
        <f>Table946[[#This Row],[Harga Satuan]]*Table946[[#This Row],[Stock Akhir]]</f>
        <v>0</v>
      </c>
    </row>
    <row r="188" spans="1:12" hidden="1" x14ac:dyDescent="0.25">
      <c r="A188" s="15" cm="1">
        <f t="array" ref="A188">ROW()-ROW(Table946[#Headers])</f>
        <v>183</v>
      </c>
      <c r="B188" s="16" t="s">
        <v>282</v>
      </c>
      <c r="C188" s="18" t="s">
        <v>336</v>
      </c>
      <c r="D188" s="19" t="s">
        <v>337</v>
      </c>
      <c r="E188" s="16" t="s">
        <v>15</v>
      </c>
      <c r="F188" s="16" t="s">
        <v>30</v>
      </c>
      <c r="G188" s="6">
        <v>3500</v>
      </c>
      <c r="H188" s="15"/>
      <c r="L188" s="6">
        <f>Table946[[#This Row],[Harga Satuan]]*Table946[[#This Row],[Stock Akhir]]</f>
        <v>0</v>
      </c>
    </row>
    <row r="189" spans="1:12" hidden="1" x14ac:dyDescent="0.25">
      <c r="A189" s="15" cm="1">
        <f t="array" ref="A189">ROW()-ROW(Table946[#Headers])</f>
        <v>184</v>
      </c>
      <c r="B189" s="16" t="s">
        <v>282</v>
      </c>
      <c r="C189" s="18" t="s">
        <v>338</v>
      </c>
      <c r="D189" s="19" t="s">
        <v>339</v>
      </c>
      <c r="E189" s="16" t="s">
        <v>15</v>
      </c>
      <c r="F189" s="16" t="s">
        <v>30</v>
      </c>
      <c r="G189" s="6">
        <v>3500</v>
      </c>
      <c r="H189" s="15"/>
      <c r="L189" s="6">
        <f>Table946[[#This Row],[Harga Satuan]]*Table946[[#This Row],[Stock Akhir]]</f>
        <v>0</v>
      </c>
    </row>
    <row r="190" spans="1:12" hidden="1" x14ac:dyDescent="0.25">
      <c r="A190" s="15" cm="1">
        <f t="array" ref="A190">ROW()-ROW(Table946[#Headers])</f>
        <v>185</v>
      </c>
      <c r="B190" s="16" t="s">
        <v>282</v>
      </c>
      <c r="C190" s="18" t="s">
        <v>340</v>
      </c>
      <c r="D190" s="19" t="s">
        <v>341</v>
      </c>
      <c r="E190" s="16" t="s">
        <v>15</v>
      </c>
      <c r="F190" s="16" t="s">
        <v>30</v>
      </c>
      <c r="G190" s="6">
        <v>3500</v>
      </c>
      <c r="H190" s="15"/>
      <c r="L190" s="6">
        <f>Table946[[#This Row],[Harga Satuan]]*Table946[[#This Row],[Stock Akhir]]</f>
        <v>0</v>
      </c>
    </row>
    <row r="191" spans="1:12" hidden="1" x14ac:dyDescent="0.25">
      <c r="A191" s="15" cm="1">
        <f t="array" ref="A191">ROW()-ROW(Table946[#Headers])</f>
        <v>186</v>
      </c>
      <c r="B191" s="16" t="s">
        <v>282</v>
      </c>
      <c r="C191" s="18" t="s">
        <v>342</v>
      </c>
      <c r="D191" s="19" t="s">
        <v>343</v>
      </c>
      <c r="E191" s="16" t="s">
        <v>15</v>
      </c>
      <c r="F191" s="16" t="s">
        <v>30</v>
      </c>
      <c r="G191" s="6">
        <v>3500</v>
      </c>
      <c r="H191" s="15"/>
      <c r="L191" s="6">
        <f>Table946[[#This Row],[Harga Satuan]]*Table946[[#This Row],[Stock Akhir]]</f>
        <v>0</v>
      </c>
    </row>
    <row r="192" spans="1:12" hidden="1" x14ac:dyDescent="0.25">
      <c r="A192" s="15" cm="1">
        <f t="array" ref="A192">ROW()-ROW(Table946[#Headers])</f>
        <v>187</v>
      </c>
      <c r="B192" s="16" t="s">
        <v>282</v>
      </c>
      <c r="C192" s="18" t="s">
        <v>344</v>
      </c>
      <c r="D192" s="19" t="s">
        <v>345</v>
      </c>
      <c r="E192" s="16" t="s">
        <v>15</v>
      </c>
      <c r="F192" s="16" t="s">
        <v>30</v>
      </c>
      <c r="G192" s="6">
        <v>3500</v>
      </c>
      <c r="H192" s="15"/>
      <c r="L192" s="6">
        <f>Table946[[#This Row],[Harga Satuan]]*Table946[[#This Row],[Stock Akhir]]</f>
        <v>0</v>
      </c>
    </row>
    <row r="193" spans="1:12" hidden="1" x14ac:dyDescent="0.25">
      <c r="A193" s="15" cm="1">
        <f t="array" ref="A193">ROW()-ROW(Table946[#Headers])</f>
        <v>188</v>
      </c>
      <c r="B193" s="16" t="s">
        <v>282</v>
      </c>
      <c r="C193" s="18" t="s">
        <v>346</v>
      </c>
      <c r="D193" s="19" t="s">
        <v>347</v>
      </c>
      <c r="E193" s="16" t="s">
        <v>15</v>
      </c>
      <c r="F193" s="16" t="s">
        <v>30</v>
      </c>
      <c r="G193" s="6">
        <v>3500</v>
      </c>
      <c r="H193" s="15"/>
      <c r="L193" s="6">
        <f>Table946[[#This Row],[Harga Satuan]]*Table946[[#This Row],[Stock Akhir]]</f>
        <v>0</v>
      </c>
    </row>
    <row r="194" spans="1:12" hidden="1" x14ac:dyDescent="0.25">
      <c r="A194" s="15" cm="1">
        <f t="array" ref="A194">ROW()-ROW(Table946[#Headers])</f>
        <v>189</v>
      </c>
      <c r="B194" s="16" t="s">
        <v>282</v>
      </c>
      <c r="C194" s="18" t="s">
        <v>348</v>
      </c>
      <c r="D194" s="19" t="s">
        <v>349</v>
      </c>
      <c r="E194" s="16" t="s">
        <v>15</v>
      </c>
      <c r="F194" s="16" t="s">
        <v>30</v>
      </c>
      <c r="G194" s="6">
        <v>3500</v>
      </c>
      <c r="H194" s="15"/>
      <c r="L194" s="6">
        <f>Table946[[#This Row],[Harga Satuan]]*Table946[[#This Row],[Stock Akhir]]</f>
        <v>0</v>
      </c>
    </row>
    <row r="195" spans="1:12" hidden="1" x14ac:dyDescent="0.25">
      <c r="A195" s="15" cm="1">
        <f t="array" ref="A195">ROW()-ROW(Table946[#Headers])</f>
        <v>190</v>
      </c>
      <c r="B195" s="16" t="s">
        <v>282</v>
      </c>
      <c r="C195" s="18" t="s">
        <v>350</v>
      </c>
      <c r="D195" s="19" t="s">
        <v>351</v>
      </c>
      <c r="E195" s="16" t="s">
        <v>15</v>
      </c>
      <c r="F195" s="16" t="s">
        <v>30</v>
      </c>
      <c r="G195" s="6">
        <v>3500</v>
      </c>
      <c r="H195" s="15"/>
      <c r="L195" s="6">
        <f>Table946[[#This Row],[Harga Satuan]]*Table946[[#This Row],[Stock Akhir]]</f>
        <v>0</v>
      </c>
    </row>
    <row r="196" spans="1:12" hidden="1" x14ac:dyDescent="0.25">
      <c r="A196" s="15" cm="1">
        <f t="array" ref="A196">ROW()-ROW(Table946[#Headers])</f>
        <v>191</v>
      </c>
      <c r="B196" s="16" t="s">
        <v>282</v>
      </c>
      <c r="C196" s="18" t="s">
        <v>352</v>
      </c>
      <c r="D196" s="19" t="s">
        <v>353</v>
      </c>
      <c r="E196" s="16" t="s">
        <v>15</v>
      </c>
      <c r="F196" s="16" t="s">
        <v>30</v>
      </c>
      <c r="G196" s="6">
        <v>0</v>
      </c>
      <c r="H196" s="15"/>
      <c r="L196" s="6">
        <f>Table946[[#This Row],[Harga Satuan]]*Table946[[#This Row],[Stock Akhir]]</f>
        <v>0</v>
      </c>
    </row>
    <row r="197" spans="1:12" hidden="1" x14ac:dyDescent="0.25">
      <c r="A197" s="15" cm="1">
        <f t="array" ref="A197">ROW()-ROW(Table946[#Headers])</f>
        <v>192</v>
      </c>
      <c r="B197" s="16" t="s">
        <v>282</v>
      </c>
      <c r="C197" s="18" t="s">
        <v>354</v>
      </c>
      <c r="D197" s="19" t="s">
        <v>355</v>
      </c>
      <c r="E197" s="16" t="s">
        <v>15</v>
      </c>
      <c r="F197" s="16" t="s">
        <v>30</v>
      </c>
      <c r="G197" s="6">
        <v>0</v>
      </c>
      <c r="H197" s="15"/>
      <c r="L197" s="6">
        <f>Table946[[#This Row],[Harga Satuan]]*Table946[[#This Row],[Stock Akhir]]</f>
        <v>0</v>
      </c>
    </row>
    <row r="198" spans="1:12" hidden="1" x14ac:dyDescent="0.25">
      <c r="A198" s="15" cm="1">
        <f t="array" ref="A198">ROW()-ROW(Table946[#Headers])</f>
        <v>193</v>
      </c>
      <c r="B198" s="16" t="s">
        <v>282</v>
      </c>
      <c r="C198" s="18" t="s">
        <v>356</v>
      </c>
      <c r="D198" s="19" t="s">
        <v>357</v>
      </c>
      <c r="E198" s="16" t="s">
        <v>15</v>
      </c>
      <c r="F198" s="16" t="s">
        <v>30</v>
      </c>
      <c r="G198" s="6">
        <v>0</v>
      </c>
      <c r="H198" s="15"/>
      <c r="L198" s="6">
        <f>Table946[[#This Row],[Harga Satuan]]*Table946[[#This Row],[Stock Akhir]]</f>
        <v>0</v>
      </c>
    </row>
    <row r="199" spans="1:12" hidden="1" x14ac:dyDescent="0.25">
      <c r="A199" s="15" cm="1">
        <f t="array" ref="A199">ROW()-ROW(Table946[#Headers])</f>
        <v>194</v>
      </c>
      <c r="B199" s="16" t="s">
        <v>282</v>
      </c>
      <c r="C199" s="18" t="s">
        <v>358</v>
      </c>
      <c r="D199" s="19" t="s">
        <v>359</v>
      </c>
      <c r="E199" s="16" t="s">
        <v>15</v>
      </c>
      <c r="F199" s="16" t="s">
        <v>30</v>
      </c>
      <c r="G199" s="6">
        <v>0</v>
      </c>
      <c r="H199" s="15"/>
      <c r="L199" s="6">
        <f>Table946[[#This Row],[Harga Satuan]]*Table946[[#This Row],[Stock Akhir]]</f>
        <v>0</v>
      </c>
    </row>
    <row r="200" spans="1:12" hidden="1" x14ac:dyDescent="0.25">
      <c r="A200" s="15" cm="1">
        <f t="array" ref="A200">ROW()-ROW(Table946[#Headers])</f>
        <v>195</v>
      </c>
      <c r="B200" s="16" t="s">
        <v>282</v>
      </c>
      <c r="C200" s="18" t="s">
        <v>360</v>
      </c>
      <c r="D200" s="19" t="s">
        <v>361</v>
      </c>
      <c r="E200" s="16" t="s">
        <v>15</v>
      </c>
      <c r="F200" s="16" t="s">
        <v>30</v>
      </c>
      <c r="G200" s="6">
        <v>0</v>
      </c>
      <c r="H200" s="15"/>
      <c r="L200" s="6">
        <f>Table946[[#This Row],[Harga Satuan]]*Table946[[#This Row],[Stock Akhir]]</f>
        <v>0</v>
      </c>
    </row>
    <row r="201" spans="1:12" hidden="1" x14ac:dyDescent="0.25">
      <c r="A201" s="15" cm="1">
        <f t="array" ref="A201">ROW()-ROW(Table946[#Headers])</f>
        <v>196</v>
      </c>
      <c r="B201" s="16" t="s">
        <v>282</v>
      </c>
      <c r="C201" s="18" t="s">
        <v>362</v>
      </c>
      <c r="D201" s="19" t="s">
        <v>363</v>
      </c>
      <c r="E201" s="16" t="s">
        <v>15</v>
      </c>
      <c r="F201" s="16" t="s">
        <v>30</v>
      </c>
      <c r="G201" s="6">
        <v>0</v>
      </c>
      <c r="H201" s="15"/>
      <c r="L201" s="6">
        <f>Table946[[#This Row],[Harga Satuan]]*Table946[[#This Row],[Stock Akhir]]</f>
        <v>0</v>
      </c>
    </row>
    <row r="202" spans="1:12" hidden="1" x14ac:dyDescent="0.25">
      <c r="A202" s="15" cm="1">
        <f t="array" ref="A202">ROW()-ROW(Table946[#Headers])</f>
        <v>197</v>
      </c>
      <c r="B202" s="16" t="s">
        <v>282</v>
      </c>
      <c r="C202" s="18" t="s">
        <v>364</v>
      </c>
      <c r="D202" s="19" t="s">
        <v>365</v>
      </c>
      <c r="E202" s="16" t="s">
        <v>15</v>
      </c>
      <c r="F202" s="16" t="s">
        <v>19</v>
      </c>
      <c r="G202" s="6">
        <v>0</v>
      </c>
      <c r="H202" s="15"/>
      <c r="L202" s="6">
        <f>Table946[[#This Row],[Harga Satuan]]*Table946[[#This Row],[Stock Akhir]]</f>
        <v>0</v>
      </c>
    </row>
    <row r="203" spans="1:12" hidden="1" x14ac:dyDescent="0.25">
      <c r="A203" s="15" cm="1">
        <f t="array" ref="A203">ROW()-ROW(Table946[#Headers])</f>
        <v>198</v>
      </c>
      <c r="B203" s="16" t="s">
        <v>282</v>
      </c>
      <c r="C203" s="16" t="s">
        <v>366</v>
      </c>
      <c r="D203" s="16" t="s">
        <v>367</v>
      </c>
      <c r="E203" s="16" t="s">
        <v>15</v>
      </c>
      <c r="F203" s="16" t="s">
        <v>19</v>
      </c>
      <c r="G203" s="6">
        <v>42500</v>
      </c>
      <c r="H203" s="15"/>
      <c r="L203" s="6">
        <f>Table946[[#This Row],[Harga Satuan]]*Table946[[#This Row],[Stock Akhir]]</f>
        <v>0</v>
      </c>
    </row>
    <row r="204" spans="1:12" hidden="1" x14ac:dyDescent="0.25">
      <c r="A204" s="15" cm="1">
        <f t="array" ref="A204">ROW()-ROW(Table946[#Headers])</f>
        <v>199</v>
      </c>
      <c r="B204" s="16" t="s">
        <v>282</v>
      </c>
      <c r="C204" s="16" t="s">
        <v>368</v>
      </c>
      <c r="D204" s="16" t="s">
        <v>369</v>
      </c>
      <c r="E204" s="16" t="s">
        <v>15</v>
      </c>
      <c r="F204" s="16" t="s">
        <v>19</v>
      </c>
      <c r="G204" s="6">
        <v>0</v>
      </c>
      <c r="H204" s="15"/>
      <c r="L204" s="6">
        <f>Table946[[#This Row],[Harga Satuan]]*Table946[[#This Row],[Stock Akhir]]</f>
        <v>0</v>
      </c>
    </row>
    <row r="205" spans="1:12" hidden="1" x14ac:dyDescent="0.25">
      <c r="A205" s="15" cm="1">
        <f t="array" ref="A205">ROW()-ROW(Table946[#Headers])</f>
        <v>200</v>
      </c>
      <c r="B205" s="16" t="s">
        <v>282</v>
      </c>
      <c r="C205" s="16" t="s">
        <v>370</v>
      </c>
      <c r="D205" s="16" t="s">
        <v>371</v>
      </c>
      <c r="E205" s="16" t="s">
        <v>15</v>
      </c>
      <c r="F205" s="16" t="s">
        <v>19</v>
      </c>
      <c r="G205" s="6">
        <v>65000</v>
      </c>
      <c r="H205" s="15"/>
      <c r="L205" s="6">
        <f>Table946[[#This Row],[Harga Satuan]]*Table946[[#This Row],[Stock Akhir]]</f>
        <v>0</v>
      </c>
    </row>
    <row r="206" spans="1:12" hidden="1" x14ac:dyDescent="0.25">
      <c r="A206" s="15" cm="1">
        <f t="array" ref="A206">ROW()-ROW(Table946[#Headers])</f>
        <v>201</v>
      </c>
      <c r="B206" s="16" t="s">
        <v>282</v>
      </c>
      <c r="C206" s="16" t="s">
        <v>372</v>
      </c>
      <c r="D206" s="16" t="s">
        <v>373</v>
      </c>
      <c r="E206" s="16" t="s">
        <v>15</v>
      </c>
      <c r="F206" s="16" t="s">
        <v>19</v>
      </c>
      <c r="G206" s="6">
        <v>150000</v>
      </c>
      <c r="H206" s="15"/>
      <c r="L206" s="6">
        <f>Table946[[#This Row],[Harga Satuan]]*Table946[[#This Row],[Stock Akhir]]</f>
        <v>0</v>
      </c>
    </row>
    <row r="207" spans="1:12" hidden="1" x14ac:dyDescent="0.25">
      <c r="A207" s="15" cm="1">
        <f t="array" ref="A207">ROW()-ROW(Table946[#Headers])</f>
        <v>202</v>
      </c>
      <c r="B207" s="16" t="s">
        <v>282</v>
      </c>
      <c r="C207" s="16" t="s">
        <v>374</v>
      </c>
      <c r="D207" s="16" t="s">
        <v>375</v>
      </c>
      <c r="E207" s="16" t="s">
        <v>15</v>
      </c>
      <c r="F207" s="16" t="s">
        <v>19</v>
      </c>
      <c r="G207" s="6">
        <v>160000</v>
      </c>
      <c r="H207" s="15"/>
      <c r="L207" s="6">
        <f>Table946[[#This Row],[Harga Satuan]]*Table946[[#This Row],[Stock Akhir]]</f>
        <v>0</v>
      </c>
    </row>
    <row r="208" spans="1:12" hidden="1" x14ac:dyDescent="0.25">
      <c r="A208" s="15" cm="1">
        <f t="array" ref="A208">ROW()-ROW(Table946[#Headers])</f>
        <v>203</v>
      </c>
      <c r="B208" s="16" t="s">
        <v>282</v>
      </c>
      <c r="C208" s="16" t="s">
        <v>376</v>
      </c>
      <c r="D208" s="16" t="s">
        <v>377</v>
      </c>
      <c r="E208" s="16" t="s">
        <v>15</v>
      </c>
      <c r="F208" s="16" t="s">
        <v>19</v>
      </c>
      <c r="G208" s="6">
        <v>17500</v>
      </c>
      <c r="H208" s="15"/>
      <c r="L208" s="6">
        <f>Table946[[#This Row],[Harga Satuan]]*Table946[[#This Row],[Stock Akhir]]</f>
        <v>0</v>
      </c>
    </row>
    <row r="209" spans="1:12" hidden="1" x14ac:dyDescent="0.25">
      <c r="A209" s="5" cm="1">
        <f t="array" ref="A209">ROW()-ROW(Table946[#Headers])</f>
        <v>204</v>
      </c>
      <c r="D209" s="4" t="s">
        <v>378</v>
      </c>
      <c r="E209" s="4" t="s">
        <v>15</v>
      </c>
      <c r="F209" s="4" t="s">
        <v>19</v>
      </c>
      <c r="G209" s="6">
        <v>7000</v>
      </c>
      <c r="L209" s="6">
        <f>Table946[[#This Row],[Harga Satuan]]*Table946[[#This Row],[Stock Akhir]]</f>
        <v>0</v>
      </c>
    </row>
    <row r="210" spans="1:12" hidden="1" x14ac:dyDescent="0.25">
      <c r="A210" s="5" cm="1">
        <f t="array" ref="A210">ROW()-ROW(Table946[#Headers])</f>
        <v>205</v>
      </c>
      <c r="D210" s="4" t="s">
        <v>379</v>
      </c>
      <c r="E210" s="4" t="s">
        <v>15</v>
      </c>
      <c r="F210" s="4" t="s">
        <v>19</v>
      </c>
      <c r="G210" s="6">
        <v>129730</v>
      </c>
      <c r="L210" s="6">
        <f>Table946[[#This Row],[Harga Satuan]]*Table946[[#This Row],[Stock Akhir]]</f>
        <v>0</v>
      </c>
    </row>
    <row r="211" spans="1:12" hidden="1" x14ac:dyDescent="0.25">
      <c r="A211" s="5" cm="1">
        <f t="array" ref="A211">ROW()-ROW(Table946[#Headers])</f>
        <v>206</v>
      </c>
      <c r="D211" s="4" t="s">
        <v>380</v>
      </c>
      <c r="E211" s="4" t="s">
        <v>15</v>
      </c>
      <c r="F211" s="4" t="s">
        <v>19</v>
      </c>
      <c r="G211" s="6">
        <v>130000</v>
      </c>
      <c r="L211" s="6">
        <f>Table946[[#This Row],[Harga Satuan]]*Table946[[#This Row],[Stock Akhir]]</f>
        <v>0</v>
      </c>
    </row>
    <row r="212" spans="1:12" hidden="1" x14ac:dyDescent="0.25">
      <c r="A212" s="15" cm="1">
        <f t="array" ref="A212">ROW()-ROW(Table946[#Headers])</f>
        <v>207</v>
      </c>
      <c r="B212" s="16" t="s">
        <v>282</v>
      </c>
      <c r="C212" s="16" t="s">
        <v>381</v>
      </c>
      <c r="D212" s="16" t="s">
        <v>382</v>
      </c>
      <c r="E212" s="16" t="s">
        <v>15</v>
      </c>
      <c r="F212" s="16" t="s">
        <v>30</v>
      </c>
      <c r="G212" s="6">
        <v>2000</v>
      </c>
      <c r="H212" s="15"/>
      <c r="L212" s="6">
        <f>Table946[[#This Row],[Harga Satuan]]*Table946[[#This Row],[Stock Akhir]]</f>
        <v>0</v>
      </c>
    </row>
    <row r="213" spans="1:12" hidden="1" x14ac:dyDescent="0.25">
      <c r="A213" s="15" cm="1">
        <f t="array" ref="A213">ROW()-ROW(Table946[#Headers])</f>
        <v>208</v>
      </c>
      <c r="B213" s="16" t="s">
        <v>282</v>
      </c>
      <c r="C213" s="16" t="s">
        <v>383</v>
      </c>
      <c r="D213" s="16" t="s">
        <v>384</v>
      </c>
      <c r="E213" s="16" t="s">
        <v>15</v>
      </c>
      <c r="F213" s="16" t="s">
        <v>19</v>
      </c>
      <c r="G213" s="6">
        <v>200000</v>
      </c>
      <c r="H213" s="15"/>
      <c r="L213" s="6">
        <f>Table946[[#This Row],[Harga Satuan]]*Table946[[#This Row],[Stock Akhir]]</f>
        <v>0</v>
      </c>
    </row>
    <row r="214" spans="1:12" hidden="1" x14ac:dyDescent="0.25">
      <c r="A214" s="15" cm="1">
        <f t="array" ref="A214">ROW()-ROW(Table946[#Headers])</f>
        <v>209</v>
      </c>
      <c r="B214" s="16" t="s">
        <v>282</v>
      </c>
      <c r="C214" s="16" t="s">
        <v>385</v>
      </c>
      <c r="D214" s="16" t="s">
        <v>386</v>
      </c>
      <c r="E214" s="16" t="s">
        <v>15</v>
      </c>
      <c r="F214" s="16" t="s">
        <v>19</v>
      </c>
      <c r="G214" s="6">
        <v>25000</v>
      </c>
      <c r="H214" s="15"/>
      <c r="L214" s="6">
        <f>Table946[[#This Row],[Harga Satuan]]*Table946[[#This Row],[Stock Akhir]]</f>
        <v>0</v>
      </c>
    </row>
    <row r="215" spans="1:12" hidden="1" x14ac:dyDescent="0.25">
      <c r="A215" s="15" cm="1">
        <f t="array" ref="A215">ROW()-ROW(Table946[#Headers])</f>
        <v>210</v>
      </c>
      <c r="B215" s="16" t="s">
        <v>282</v>
      </c>
      <c r="C215" s="16" t="s">
        <v>387</v>
      </c>
      <c r="D215" s="16" t="s">
        <v>388</v>
      </c>
      <c r="E215" s="16" t="s">
        <v>15</v>
      </c>
      <c r="F215" s="16" t="s">
        <v>19</v>
      </c>
      <c r="G215" s="6">
        <v>500</v>
      </c>
      <c r="H215" s="15"/>
      <c r="L215" s="6">
        <f>Table946[[#This Row],[Harga Satuan]]*Table946[[#This Row],[Stock Akhir]]</f>
        <v>0</v>
      </c>
    </row>
    <row r="216" spans="1:12" hidden="1" x14ac:dyDescent="0.25">
      <c r="A216" s="15" cm="1">
        <f t="array" ref="A216">ROW()-ROW(Table946[#Headers])</f>
        <v>211</v>
      </c>
      <c r="B216" s="16" t="s">
        <v>282</v>
      </c>
      <c r="C216" s="16" t="s">
        <v>389</v>
      </c>
      <c r="D216" s="16" t="s">
        <v>390</v>
      </c>
      <c r="E216" s="16" t="s">
        <v>15</v>
      </c>
      <c r="F216" s="16" t="s">
        <v>19</v>
      </c>
      <c r="G216" s="6">
        <v>500</v>
      </c>
      <c r="H216" s="15"/>
      <c r="L216" s="6">
        <f>Table946[[#This Row],[Harga Satuan]]*Table946[[#This Row],[Stock Akhir]]</f>
        <v>0</v>
      </c>
    </row>
    <row r="217" spans="1:12" hidden="1" x14ac:dyDescent="0.25">
      <c r="A217" s="15" cm="1">
        <f t="array" ref="A217">ROW()-ROW(Table946[#Headers])</f>
        <v>212</v>
      </c>
      <c r="B217" s="16" t="s">
        <v>282</v>
      </c>
      <c r="C217" s="16" t="s">
        <v>391</v>
      </c>
      <c r="D217" s="16" t="s">
        <v>392</v>
      </c>
      <c r="E217" s="16" t="s">
        <v>15</v>
      </c>
      <c r="F217" s="16" t="s">
        <v>19</v>
      </c>
      <c r="G217" s="6">
        <v>550000</v>
      </c>
      <c r="H217" s="15"/>
      <c r="L217" s="6">
        <f>Table946[[#This Row],[Harga Satuan]]*Table946[[#This Row],[Stock Akhir]]</f>
        <v>0</v>
      </c>
    </row>
    <row r="218" spans="1:12" hidden="1" x14ac:dyDescent="0.25">
      <c r="A218" s="15" cm="1">
        <f t="array" ref="A218">ROW()-ROW(Table946[#Headers])</f>
        <v>213</v>
      </c>
      <c r="B218" s="16" t="s">
        <v>282</v>
      </c>
      <c r="C218" s="16" t="s">
        <v>393</v>
      </c>
      <c r="D218" s="16" t="s">
        <v>394</v>
      </c>
      <c r="E218" s="16" t="s">
        <v>15</v>
      </c>
      <c r="F218" s="16" t="s">
        <v>395</v>
      </c>
      <c r="G218" s="6">
        <v>10400</v>
      </c>
      <c r="H218" s="15"/>
      <c r="L218" s="6">
        <f>Table946[[#This Row],[Harga Satuan]]*Table946[[#This Row],[Stock Akhir]]</f>
        <v>0</v>
      </c>
    </row>
    <row r="219" spans="1:12" hidden="1" x14ac:dyDescent="0.25">
      <c r="A219" s="15" cm="1">
        <f t="array" ref="A219">ROW()-ROW(Table946[#Headers])</f>
        <v>214</v>
      </c>
      <c r="B219" s="16" t="s">
        <v>282</v>
      </c>
      <c r="C219" s="16" t="s">
        <v>396</v>
      </c>
      <c r="D219" s="16" t="s">
        <v>397</v>
      </c>
      <c r="E219" s="16" t="s">
        <v>15</v>
      </c>
      <c r="F219" s="16" t="s">
        <v>395</v>
      </c>
      <c r="G219" s="6">
        <v>12125</v>
      </c>
      <c r="H219" s="15"/>
      <c r="L219" s="6">
        <f>Table946[[#This Row],[Harga Satuan]]*Table946[[#This Row],[Stock Akhir]]</f>
        <v>0</v>
      </c>
    </row>
    <row r="220" spans="1:12" hidden="1" x14ac:dyDescent="0.25">
      <c r="A220" s="15" cm="1">
        <f t="array" ref="A220">ROW()-ROW(Table946[#Headers])</f>
        <v>215</v>
      </c>
      <c r="B220" s="16" t="s">
        <v>282</v>
      </c>
      <c r="C220" s="16" t="s">
        <v>398</v>
      </c>
      <c r="D220" s="16" t="s">
        <v>399</v>
      </c>
      <c r="E220" s="16" t="s">
        <v>15</v>
      </c>
      <c r="F220" s="16" t="s">
        <v>395</v>
      </c>
      <c r="G220" s="6">
        <v>12125</v>
      </c>
      <c r="H220" s="15"/>
      <c r="L220" s="6">
        <f>Table946[[#This Row],[Harga Satuan]]*Table946[[#This Row],[Stock Akhir]]</f>
        <v>0</v>
      </c>
    </row>
    <row r="221" spans="1:12" hidden="1" x14ac:dyDescent="0.25">
      <c r="A221" s="15" cm="1">
        <f t="array" ref="A221">ROW()-ROW(Table946[#Headers])</f>
        <v>216</v>
      </c>
      <c r="B221" s="16" t="s">
        <v>282</v>
      </c>
      <c r="C221" s="16" t="s">
        <v>400</v>
      </c>
      <c r="D221" s="16" t="s">
        <v>401</v>
      </c>
      <c r="E221" s="16" t="s">
        <v>15</v>
      </c>
      <c r="F221" s="16" t="s">
        <v>395</v>
      </c>
      <c r="G221" s="6">
        <v>19635</v>
      </c>
      <c r="H221" s="15"/>
      <c r="L221" s="6">
        <f>Table946[[#This Row],[Harga Satuan]]*Table946[[#This Row],[Stock Akhir]]</f>
        <v>0</v>
      </c>
    </row>
    <row r="222" spans="1:12" hidden="1" x14ac:dyDescent="0.25">
      <c r="A222" s="15" cm="1">
        <f t="array" ref="A222">ROW()-ROW(Table946[#Headers])</f>
        <v>217</v>
      </c>
      <c r="B222" s="16" t="s">
        <v>282</v>
      </c>
      <c r="C222" s="16" t="s">
        <v>402</v>
      </c>
      <c r="D222" s="16" t="s">
        <v>403</v>
      </c>
      <c r="E222" s="16" t="s">
        <v>15</v>
      </c>
      <c r="F222" s="16" t="s">
        <v>395</v>
      </c>
      <c r="G222" s="6">
        <v>27115</v>
      </c>
      <c r="H222" s="15"/>
      <c r="L222" s="6">
        <f>Table946[[#This Row],[Harga Satuan]]*Table946[[#This Row],[Stock Akhir]]</f>
        <v>0</v>
      </c>
    </row>
    <row r="223" spans="1:12" hidden="1" x14ac:dyDescent="0.25">
      <c r="A223" s="15" cm="1">
        <f t="array" ref="A223">ROW()-ROW(Table946[#Headers])</f>
        <v>218</v>
      </c>
      <c r="B223" s="16" t="s">
        <v>282</v>
      </c>
      <c r="C223" s="16" t="s">
        <v>404</v>
      </c>
      <c r="D223" s="16" t="s">
        <v>405</v>
      </c>
      <c r="E223" s="16" t="s">
        <v>15</v>
      </c>
      <c r="F223" s="16" t="s">
        <v>395</v>
      </c>
      <c r="G223" s="6">
        <v>27115</v>
      </c>
      <c r="H223" s="15"/>
      <c r="L223" s="6">
        <f>Table946[[#This Row],[Harga Satuan]]*Table946[[#This Row],[Stock Akhir]]</f>
        <v>0</v>
      </c>
    </row>
    <row r="224" spans="1:12" hidden="1" x14ac:dyDescent="0.25">
      <c r="A224" s="15" cm="1">
        <f t="array" ref="A224">ROW()-ROW(Table946[#Headers])</f>
        <v>219</v>
      </c>
      <c r="B224" s="16" t="s">
        <v>282</v>
      </c>
      <c r="C224" s="16" t="s">
        <v>406</v>
      </c>
      <c r="D224" s="16" t="s">
        <v>407</v>
      </c>
      <c r="E224" s="16" t="s">
        <v>15</v>
      </c>
      <c r="F224" s="16" t="s">
        <v>395</v>
      </c>
      <c r="G224" s="6">
        <v>32500</v>
      </c>
      <c r="H224" s="15"/>
      <c r="L224" s="6">
        <f>Table946[[#This Row],[Harga Satuan]]*Table946[[#This Row],[Stock Akhir]]</f>
        <v>0</v>
      </c>
    </row>
    <row r="225" spans="1:12" hidden="1" x14ac:dyDescent="0.25">
      <c r="A225" s="15" cm="1">
        <f t="array" ref="A225">ROW()-ROW(Table946[#Headers])</f>
        <v>220</v>
      </c>
      <c r="B225" s="16" t="s">
        <v>282</v>
      </c>
      <c r="C225" s="16" t="s">
        <v>408</v>
      </c>
      <c r="D225" s="16" t="s">
        <v>409</v>
      </c>
      <c r="E225" s="16" t="s">
        <v>15</v>
      </c>
      <c r="F225" s="16" t="s">
        <v>395</v>
      </c>
      <c r="G225" s="6">
        <v>72500</v>
      </c>
      <c r="H225" s="15"/>
      <c r="L225" s="6">
        <f>Table946[[#This Row],[Harga Satuan]]*Table946[[#This Row],[Stock Akhir]]</f>
        <v>0</v>
      </c>
    </row>
    <row r="226" spans="1:12" hidden="1" x14ac:dyDescent="0.25">
      <c r="A226" s="15" cm="1">
        <f t="array" ref="A226">ROW()-ROW(Table946[#Headers])</f>
        <v>221</v>
      </c>
      <c r="B226" s="16" t="s">
        <v>282</v>
      </c>
      <c r="C226" s="16" t="s">
        <v>410</v>
      </c>
      <c r="D226" s="16" t="s">
        <v>411</v>
      </c>
      <c r="E226" s="16" t="s">
        <v>15</v>
      </c>
      <c r="F226" s="16" t="s">
        <v>395</v>
      </c>
      <c r="G226" s="6">
        <v>48000</v>
      </c>
      <c r="H226" s="15"/>
      <c r="L226" s="6">
        <f>Table946[[#This Row],[Harga Satuan]]*Table946[[#This Row],[Stock Akhir]]</f>
        <v>0</v>
      </c>
    </row>
    <row r="227" spans="1:12" hidden="1" x14ac:dyDescent="0.25">
      <c r="A227" s="15" cm="1">
        <f t="array" ref="A227">ROW()-ROW(Table946[#Headers])</f>
        <v>222</v>
      </c>
      <c r="B227" s="16" t="s">
        <v>282</v>
      </c>
      <c r="C227" s="16" t="s">
        <v>412</v>
      </c>
      <c r="D227" s="16" t="s">
        <v>413</v>
      </c>
      <c r="E227" s="16" t="s">
        <v>15</v>
      </c>
      <c r="F227" s="16" t="s">
        <v>395</v>
      </c>
      <c r="G227" s="6">
        <v>25000</v>
      </c>
      <c r="H227" s="15"/>
      <c r="L227" s="6">
        <f>Table946[[#This Row],[Harga Satuan]]*Table946[[#This Row],[Stock Akhir]]</f>
        <v>0</v>
      </c>
    </row>
    <row r="228" spans="1:12" hidden="1" x14ac:dyDescent="0.25">
      <c r="A228" s="5" cm="1">
        <f t="array" ref="A228">ROW()-ROW(Table946[#Headers])</f>
        <v>223</v>
      </c>
      <c r="D228" s="4" t="s">
        <v>414</v>
      </c>
      <c r="E228" s="4" t="s">
        <v>15</v>
      </c>
      <c r="F228" s="4" t="s">
        <v>19</v>
      </c>
      <c r="G228" s="6">
        <v>5000</v>
      </c>
      <c r="L228" s="6">
        <f>Table946[[#This Row],[Harga Satuan]]*Table946[[#This Row],[Stock Akhir]]</f>
        <v>0</v>
      </c>
    </row>
    <row r="229" spans="1:12" hidden="1" x14ac:dyDescent="0.25">
      <c r="A229" s="15" cm="1">
        <f t="array" ref="A229">ROW()-ROW(Table946[#Headers])</f>
        <v>224</v>
      </c>
      <c r="B229" s="16" t="s">
        <v>282</v>
      </c>
      <c r="C229" s="16" t="s">
        <v>415</v>
      </c>
      <c r="D229" s="16" t="s">
        <v>416</v>
      </c>
      <c r="E229" s="16" t="s">
        <v>15</v>
      </c>
      <c r="F229" s="16" t="s">
        <v>19</v>
      </c>
      <c r="G229" s="6">
        <v>0</v>
      </c>
      <c r="H229" s="15"/>
      <c r="L229" s="6">
        <f>Table946[[#This Row],[Harga Satuan]]*Table946[[#This Row],[Stock Akhir]]</f>
        <v>0</v>
      </c>
    </row>
    <row r="230" spans="1:12" hidden="1" x14ac:dyDescent="0.25">
      <c r="A230" s="15" cm="1">
        <f t="array" ref="A230">ROW()-ROW(Table946[#Headers])</f>
        <v>225</v>
      </c>
      <c r="B230" s="16" t="s">
        <v>282</v>
      </c>
      <c r="C230" s="16" t="s">
        <v>417</v>
      </c>
      <c r="D230" s="16" t="s">
        <v>418</v>
      </c>
      <c r="E230" s="16" t="s">
        <v>15</v>
      </c>
      <c r="F230" s="16" t="s">
        <v>19</v>
      </c>
      <c r="G230" s="6">
        <v>0</v>
      </c>
      <c r="H230" s="15"/>
      <c r="L230" s="6">
        <f>Table946[[#This Row],[Harga Satuan]]*Table946[[#This Row],[Stock Akhir]]</f>
        <v>0</v>
      </c>
    </row>
    <row r="231" spans="1:12" hidden="1" x14ac:dyDescent="0.25">
      <c r="A231" s="15" cm="1">
        <f t="array" ref="A231">ROW()-ROW(Table946[#Headers])</f>
        <v>226</v>
      </c>
      <c r="B231" s="16" t="s">
        <v>282</v>
      </c>
      <c r="C231" s="16" t="s">
        <v>419</v>
      </c>
      <c r="D231" s="16" t="s">
        <v>420</v>
      </c>
      <c r="E231" s="16" t="s">
        <v>15</v>
      </c>
      <c r="F231" s="16" t="s">
        <v>19</v>
      </c>
      <c r="G231" s="6">
        <v>0</v>
      </c>
      <c r="H231" s="15"/>
      <c r="L231" s="6">
        <f>Table946[[#This Row],[Harga Satuan]]*Table946[[#This Row],[Stock Akhir]]</f>
        <v>0</v>
      </c>
    </row>
    <row r="232" spans="1:12" hidden="1" x14ac:dyDescent="0.25">
      <c r="A232" s="15" cm="1">
        <f t="array" ref="A232">ROW()-ROW(Table946[#Headers])</f>
        <v>227</v>
      </c>
      <c r="B232" s="16" t="s">
        <v>282</v>
      </c>
      <c r="C232" s="16" t="s">
        <v>419</v>
      </c>
      <c r="D232" s="16" t="s">
        <v>421</v>
      </c>
      <c r="E232" s="16" t="s">
        <v>15</v>
      </c>
      <c r="F232" s="16" t="s">
        <v>19</v>
      </c>
      <c r="G232" s="6">
        <v>385000</v>
      </c>
      <c r="H232" s="15"/>
      <c r="L232" s="6">
        <f>Table946[[#This Row],[Harga Satuan]]*Table946[[#This Row],[Stock Akhir]]</f>
        <v>0</v>
      </c>
    </row>
    <row r="233" spans="1:12" hidden="1" x14ac:dyDescent="0.25">
      <c r="A233" s="15" cm="1">
        <f t="array" ref="A233">ROW()-ROW(Table946[#Headers])</f>
        <v>228</v>
      </c>
      <c r="B233" s="16" t="s">
        <v>282</v>
      </c>
      <c r="C233" s="16" t="s">
        <v>422</v>
      </c>
      <c r="D233" s="16" t="s">
        <v>423</v>
      </c>
      <c r="E233" s="16" t="s">
        <v>15</v>
      </c>
      <c r="F233" s="16" t="s">
        <v>19</v>
      </c>
      <c r="G233" s="6">
        <v>0</v>
      </c>
      <c r="H233" s="15"/>
      <c r="L233" s="6">
        <f>Table946[[#This Row],[Harga Satuan]]*Table946[[#This Row],[Stock Akhir]]</f>
        <v>0</v>
      </c>
    </row>
    <row r="234" spans="1:12" hidden="1" x14ac:dyDescent="0.25">
      <c r="A234" s="15" cm="1">
        <f t="array" ref="A234">ROW()-ROW(Table946[#Headers])</f>
        <v>229</v>
      </c>
      <c r="B234" s="16" t="s">
        <v>282</v>
      </c>
      <c r="C234" s="16" t="s">
        <v>424</v>
      </c>
      <c r="D234" s="16" t="s">
        <v>425</v>
      </c>
      <c r="E234" s="16" t="s">
        <v>15</v>
      </c>
      <c r="F234" s="16" t="s">
        <v>26</v>
      </c>
      <c r="G234" s="6">
        <v>120000</v>
      </c>
      <c r="H234" s="15"/>
      <c r="L234" s="6">
        <f>Table946[[#This Row],[Harga Satuan]]*Table946[[#This Row],[Stock Akhir]]</f>
        <v>0</v>
      </c>
    </row>
    <row r="235" spans="1:12" hidden="1" x14ac:dyDescent="0.25">
      <c r="A235" s="15" cm="1">
        <f t="array" ref="A235">ROW()-ROW(Table946[#Headers])</f>
        <v>230</v>
      </c>
      <c r="B235" s="16" t="s">
        <v>282</v>
      </c>
      <c r="C235" s="16" t="s">
        <v>426</v>
      </c>
      <c r="D235" s="16" t="s">
        <v>427</v>
      </c>
      <c r="E235" s="16" t="s">
        <v>15</v>
      </c>
      <c r="F235" s="16" t="s">
        <v>26</v>
      </c>
      <c r="G235" s="6">
        <v>22000</v>
      </c>
      <c r="H235" s="15"/>
      <c r="L235" s="6">
        <f>Table946[[#This Row],[Harga Satuan]]*Table946[[#This Row],[Stock Akhir]]</f>
        <v>0</v>
      </c>
    </row>
    <row r="236" spans="1:12" hidden="1" x14ac:dyDescent="0.25">
      <c r="A236" s="15" cm="1">
        <f t="array" ref="A236">ROW()-ROW(Table946[#Headers])</f>
        <v>231</v>
      </c>
      <c r="B236" s="16" t="s">
        <v>282</v>
      </c>
      <c r="C236" s="16" t="s">
        <v>428</v>
      </c>
      <c r="D236" s="16" t="s">
        <v>429</v>
      </c>
      <c r="E236" s="16" t="s">
        <v>15</v>
      </c>
      <c r="F236" s="16" t="s">
        <v>26</v>
      </c>
      <c r="G236" s="6">
        <v>0</v>
      </c>
      <c r="H236" s="15"/>
      <c r="L236" s="6">
        <f>Table946[[#This Row],[Harga Satuan]]*Table946[[#This Row],[Stock Akhir]]</f>
        <v>0</v>
      </c>
    </row>
    <row r="237" spans="1:12" hidden="1" x14ac:dyDescent="0.25">
      <c r="A237" s="15" cm="1">
        <f t="array" ref="A237">ROW()-ROW(Table946[#Headers])</f>
        <v>232</v>
      </c>
      <c r="B237" s="16" t="s">
        <v>282</v>
      </c>
      <c r="C237" s="16" t="s">
        <v>430</v>
      </c>
      <c r="D237" s="16" t="s">
        <v>431</v>
      </c>
      <c r="E237" s="16" t="s">
        <v>15</v>
      </c>
      <c r="F237" s="16" t="s">
        <v>26</v>
      </c>
      <c r="G237" s="6">
        <v>50000</v>
      </c>
      <c r="H237" s="15"/>
      <c r="L237" s="6">
        <f>Table946[[#This Row],[Harga Satuan]]*Table946[[#This Row],[Stock Akhir]]</f>
        <v>0</v>
      </c>
    </row>
    <row r="238" spans="1:12" hidden="1" x14ac:dyDescent="0.25">
      <c r="A238" s="15" cm="1">
        <f t="array" ref="A238">ROW()-ROW(Table946[#Headers])</f>
        <v>233</v>
      </c>
      <c r="B238" s="16" t="s">
        <v>282</v>
      </c>
      <c r="C238" s="16" t="s">
        <v>432</v>
      </c>
      <c r="D238" s="16" t="s">
        <v>433</v>
      </c>
      <c r="E238" s="16" t="s">
        <v>15</v>
      </c>
      <c r="F238" s="16" t="s">
        <v>26</v>
      </c>
      <c r="G238" s="6">
        <v>0</v>
      </c>
      <c r="H238" s="15"/>
      <c r="L238" s="6">
        <f>Table946[[#This Row],[Harga Satuan]]*Table946[[#This Row],[Stock Akhir]]</f>
        <v>0</v>
      </c>
    </row>
    <row r="239" spans="1:12" hidden="1" x14ac:dyDescent="0.25">
      <c r="A239" s="15" cm="1">
        <f t="array" ref="A239">ROW()-ROW(Table946[#Headers])</f>
        <v>234</v>
      </c>
      <c r="B239" s="16" t="s">
        <v>282</v>
      </c>
      <c r="C239" s="16" t="s">
        <v>434</v>
      </c>
      <c r="D239" s="16" t="s">
        <v>435</v>
      </c>
      <c r="E239" s="16" t="s">
        <v>15</v>
      </c>
      <c r="F239" s="16" t="s">
        <v>26</v>
      </c>
      <c r="G239" s="6">
        <v>105000</v>
      </c>
      <c r="H239" s="15"/>
      <c r="L239" s="6">
        <f>Table946[[#This Row],[Harga Satuan]]*Table946[[#This Row],[Stock Akhir]]</f>
        <v>0</v>
      </c>
    </row>
    <row r="240" spans="1:12" hidden="1" x14ac:dyDescent="0.25">
      <c r="A240" s="15" cm="1">
        <f t="array" ref="A240">ROW()-ROW(Table946[#Headers])</f>
        <v>235</v>
      </c>
      <c r="B240" s="16" t="s">
        <v>282</v>
      </c>
      <c r="C240" s="16" t="s">
        <v>436</v>
      </c>
      <c r="D240" s="16" t="s">
        <v>437</v>
      </c>
      <c r="E240" s="16" t="s">
        <v>15</v>
      </c>
      <c r="F240" s="16" t="s">
        <v>19</v>
      </c>
      <c r="G240" s="6">
        <v>1600</v>
      </c>
      <c r="H240" s="15"/>
      <c r="L240" s="6">
        <f>Table946[[#This Row],[Harga Satuan]]*Table946[[#This Row],[Stock Akhir]]</f>
        <v>0</v>
      </c>
    </row>
    <row r="241" spans="1:12" hidden="1" x14ac:dyDescent="0.25">
      <c r="A241" s="15" cm="1">
        <f t="array" ref="A241">ROW()-ROW(Table946[#Headers])</f>
        <v>236</v>
      </c>
      <c r="B241" s="16" t="s">
        <v>282</v>
      </c>
      <c r="C241" s="16" t="s">
        <v>438</v>
      </c>
      <c r="D241" s="16" t="s">
        <v>439</v>
      </c>
      <c r="E241" s="16" t="s">
        <v>15</v>
      </c>
      <c r="F241" s="16" t="s">
        <v>19</v>
      </c>
      <c r="G241" s="6">
        <v>933.3</v>
      </c>
      <c r="H241" s="15"/>
      <c r="L241" s="6">
        <f>Table946[[#This Row],[Harga Satuan]]*Table946[[#This Row],[Stock Akhir]]</f>
        <v>0</v>
      </c>
    </row>
    <row r="242" spans="1:12" hidden="1" x14ac:dyDescent="0.25">
      <c r="A242" s="15" cm="1">
        <f t="array" ref="A242">ROW()-ROW(Table946[#Headers])</f>
        <v>237</v>
      </c>
      <c r="B242" s="16" t="s">
        <v>282</v>
      </c>
      <c r="C242" s="16" t="s">
        <v>440</v>
      </c>
      <c r="D242" s="16" t="s">
        <v>441</v>
      </c>
      <c r="E242" s="16" t="s">
        <v>15</v>
      </c>
      <c r="F242" s="16" t="s">
        <v>19</v>
      </c>
      <c r="G242" s="6">
        <v>833.3</v>
      </c>
      <c r="H242" s="15"/>
      <c r="L242" s="6">
        <f>Table946[[#This Row],[Harga Satuan]]*Table946[[#This Row],[Stock Akhir]]</f>
        <v>0</v>
      </c>
    </row>
    <row r="243" spans="1:12" hidden="1" x14ac:dyDescent="0.25">
      <c r="A243" s="15" cm="1">
        <f t="array" ref="A243">ROW()-ROW(Table946[#Headers])</f>
        <v>238</v>
      </c>
      <c r="B243" s="16" t="s">
        <v>282</v>
      </c>
      <c r="C243" s="16" t="s">
        <v>442</v>
      </c>
      <c r="D243" s="16" t="s">
        <v>443</v>
      </c>
      <c r="E243" s="16" t="s">
        <v>15</v>
      </c>
      <c r="F243" s="16" t="s">
        <v>19</v>
      </c>
      <c r="G243" s="6">
        <v>833.3</v>
      </c>
      <c r="H243" s="15"/>
      <c r="L243" s="6">
        <f>Table946[[#This Row],[Harga Satuan]]*Table946[[#This Row],[Stock Akhir]]</f>
        <v>0</v>
      </c>
    </row>
    <row r="244" spans="1:12" hidden="1" x14ac:dyDescent="0.25">
      <c r="A244" s="15" cm="1">
        <f t="array" ref="A244">ROW()-ROW(Table946[#Headers])</f>
        <v>239</v>
      </c>
      <c r="B244" s="16" t="s">
        <v>282</v>
      </c>
      <c r="C244" s="16" t="s">
        <v>444</v>
      </c>
      <c r="D244" s="16" t="s">
        <v>445</v>
      </c>
      <c r="E244" s="16" t="s">
        <v>15</v>
      </c>
      <c r="F244" s="16" t="s">
        <v>19</v>
      </c>
      <c r="G244" s="6">
        <v>933.3</v>
      </c>
      <c r="H244" s="15"/>
      <c r="L244" s="6">
        <f>Table946[[#This Row],[Harga Satuan]]*Table946[[#This Row],[Stock Akhir]]</f>
        <v>0</v>
      </c>
    </row>
    <row r="245" spans="1:12" hidden="1" x14ac:dyDescent="0.25">
      <c r="A245" s="15" cm="1">
        <f t="array" ref="A245">ROW()-ROW(Table946[#Headers])</f>
        <v>240</v>
      </c>
      <c r="B245" s="16" t="s">
        <v>282</v>
      </c>
      <c r="C245" s="16" t="s">
        <v>446</v>
      </c>
      <c r="D245" s="16" t="s">
        <v>447</v>
      </c>
      <c r="E245" s="16" t="s">
        <v>15</v>
      </c>
      <c r="F245" s="16" t="s">
        <v>19</v>
      </c>
      <c r="G245" s="6">
        <v>1600</v>
      </c>
      <c r="H245" s="15"/>
      <c r="L245" s="6">
        <f>Table946[[#This Row],[Harga Satuan]]*Table946[[#This Row],[Stock Akhir]]</f>
        <v>0</v>
      </c>
    </row>
    <row r="246" spans="1:12" hidden="1" x14ac:dyDescent="0.25">
      <c r="A246" s="15" cm="1">
        <f t="array" ref="A246">ROW()-ROW(Table946[#Headers])</f>
        <v>241</v>
      </c>
      <c r="B246" s="16" t="s">
        <v>282</v>
      </c>
      <c r="C246" s="16" t="s">
        <v>448</v>
      </c>
      <c r="D246" s="16" t="s">
        <v>449</v>
      </c>
      <c r="E246" s="16" t="s">
        <v>15</v>
      </c>
      <c r="F246" s="16" t="s">
        <v>19</v>
      </c>
      <c r="G246" s="6">
        <v>15000</v>
      </c>
      <c r="H246" s="15"/>
      <c r="L246" s="6">
        <f>Table946[[#This Row],[Harga Satuan]]*Table946[[#This Row],[Stock Akhir]]</f>
        <v>0</v>
      </c>
    </row>
    <row r="247" spans="1:12" hidden="1" x14ac:dyDescent="0.25">
      <c r="A247" s="15" cm="1">
        <f t="array" ref="A247">ROW()-ROW(Table946[#Headers])</f>
        <v>242</v>
      </c>
      <c r="B247" s="16" t="s">
        <v>282</v>
      </c>
      <c r="C247" s="16" t="s">
        <v>450</v>
      </c>
      <c r="D247" s="16" t="s">
        <v>451</v>
      </c>
      <c r="E247" s="16" t="s">
        <v>15</v>
      </c>
      <c r="F247" s="16" t="s">
        <v>19</v>
      </c>
      <c r="G247" s="6">
        <v>15000</v>
      </c>
      <c r="H247" s="15"/>
      <c r="L247" s="6">
        <f>Table946[[#This Row],[Harga Satuan]]*Table946[[#This Row],[Stock Akhir]]</f>
        <v>0</v>
      </c>
    </row>
    <row r="248" spans="1:12" hidden="1" x14ac:dyDescent="0.25">
      <c r="A248" s="15" cm="1">
        <f t="array" ref="A248">ROW()-ROW(Table946[#Headers])</f>
        <v>243</v>
      </c>
      <c r="B248" s="16" t="s">
        <v>282</v>
      </c>
      <c r="C248" s="16" t="s">
        <v>452</v>
      </c>
      <c r="D248" s="16" t="s">
        <v>453</v>
      </c>
      <c r="E248" s="16" t="s">
        <v>15</v>
      </c>
      <c r="F248" s="16" t="s">
        <v>19</v>
      </c>
      <c r="G248" s="6">
        <v>350000</v>
      </c>
      <c r="H248" s="15"/>
      <c r="L248" s="6">
        <f>Table946[[#This Row],[Harga Satuan]]*Table946[[#This Row],[Stock Akhir]]</f>
        <v>0</v>
      </c>
    </row>
    <row r="249" spans="1:12" hidden="1" x14ac:dyDescent="0.25">
      <c r="A249" s="15" cm="1">
        <f t="array" ref="A249">ROW()-ROW(Table946[#Headers])</f>
        <v>244</v>
      </c>
      <c r="B249" s="16" t="s">
        <v>282</v>
      </c>
      <c r="C249" s="16" t="s">
        <v>454</v>
      </c>
      <c r="D249" s="16" t="s">
        <v>455</v>
      </c>
      <c r="E249" s="16" t="s">
        <v>15</v>
      </c>
      <c r="F249" s="16" t="s">
        <v>19</v>
      </c>
      <c r="G249" s="6">
        <v>250000</v>
      </c>
      <c r="H249" s="15"/>
      <c r="L249" s="6">
        <f>Table946[[#This Row],[Harga Satuan]]*Table946[[#This Row],[Stock Akhir]]</f>
        <v>0</v>
      </c>
    </row>
    <row r="250" spans="1:12" hidden="1" x14ac:dyDescent="0.25">
      <c r="A250" s="15" cm="1">
        <f t="array" ref="A250">ROW()-ROW(Table946[#Headers])</f>
        <v>245</v>
      </c>
      <c r="B250" s="16" t="s">
        <v>282</v>
      </c>
      <c r="C250" s="16" t="s">
        <v>456</v>
      </c>
      <c r="D250" s="16" t="s">
        <v>457</v>
      </c>
      <c r="E250" s="16" t="s">
        <v>15</v>
      </c>
      <c r="F250" s="16" t="s">
        <v>26</v>
      </c>
      <c r="G250" s="6">
        <v>1231500</v>
      </c>
      <c r="H250" s="15"/>
      <c r="L250" s="6">
        <f>Table946[[#This Row],[Harga Satuan]]*Table946[[#This Row],[Stock Akhir]]</f>
        <v>0</v>
      </c>
    </row>
    <row r="251" spans="1:12" hidden="1" x14ac:dyDescent="0.25">
      <c r="A251" s="15" cm="1">
        <f t="array" ref="A251">ROW()-ROW(Table946[#Headers])</f>
        <v>246</v>
      </c>
      <c r="B251" s="16" t="s">
        <v>282</v>
      </c>
      <c r="C251" s="16" t="s">
        <v>458</v>
      </c>
      <c r="D251" s="16" t="s">
        <v>459</v>
      </c>
      <c r="E251" s="16" t="s">
        <v>15</v>
      </c>
      <c r="F251" s="16" t="s">
        <v>26</v>
      </c>
      <c r="G251" s="6">
        <v>1100000</v>
      </c>
      <c r="H251" s="15"/>
      <c r="L251" s="6">
        <f>Table946[[#This Row],[Harga Satuan]]*Table946[[#This Row],[Stock Akhir]]</f>
        <v>0</v>
      </c>
    </row>
    <row r="252" spans="1:12" hidden="1" x14ac:dyDescent="0.25">
      <c r="A252" s="15" cm="1">
        <f t="array" ref="A252">ROW()-ROW(Table946[#Headers])</f>
        <v>247</v>
      </c>
      <c r="B252" s="16" t="s">
        <v>282</v>
      </c>
      <c r="C252" s="16" t="s">
        <v>460</v>
      </c>
      <c r="D252" s="16" t="s">
        <v>461</v>
      </c>
      <c r="E252" s="16" t="s">
        <v>15</v>
      </c>
      <c r="F252" s="16" t="s">
        <v>26</v>
      </c>
      <c r="G252" s="6">
        <v>800000</v>
      </c>
      <c r="H252" s="15"/>
      <c r="L252" s="6">
        <f>Table946[[#This Row],[Harga Satuan]]*Table946[[#This Row],[Stock Akhir]]</f>
        <v>0</v>
      </c>
    </row>
    <row r="253" spans="1:12" hidden="1" x14ac:dyDescent="0.25">
      <c r="A253" s="15" cm="1">
        <f t="array" ref="A253">ROW()-ROW(Table946[#Headers])</f>
        <v>248</v>
      </c>
      <c r="B253" s="16" t="s">
        <v>282</v>
      </c>
      <c r="C253" s="16" t="s">
        <v>462</v>
      </c>
      <c r="D253" s="16" t="s">
        <v>463</v>
      </c>
      <c r="E253" s="16" t="s">
        <v>15</v>
      </c>
      <c r="F253" s="16" t="s">
        <v>26</v>
      </c>
      <c r="G253" s="6">
        <v>170000</v>
      </c>
      <c r="H253" s="15"/>
      <c r="L253" s="6">
        <f>Table946[[#This Row],[Harga Satuan]]*Table946[[#This Row],[Stock Akhir]]</f>
        <v>0</v>
      </c>
    </row>
    <row r="254" spans="1:12" hidden="1" x14ac:dyDescent="0.25">
      <c r="A254" s="15" cm="1">
        <f t="array" ref="A254">ROW()-ROW(Table946[#Headers])</f>
        <v>249</v>
      </c>
      <c r="B254" s="16" t="s">
        <v>282</v>
      </c>
      <c r="C254" s="16" t="s">
        <v>464</v>
      </c>
      <c r="D254" s="16" t="s">
        <v>465</v>
      </c>
      <c r="E254" s="16" t="s">
        <v>15</v>
      </c>
      <c r="F254" s="16" t="s">
        <v>26</v>
      </c>
      <c r="G254" s="6">
        <v>215000</v>
      </c>
      <c r="H254" s="15"/>
      <c r="L254" s="6">
        <f>Table946[[#This Row],[Harga Satuan]]*Table946[[#This Row],[Stock Akhir]]</f>
        <v>0</v>
      </c>
    </row>
    <row r="255" spans="1:12" hidden="1" x14ac:dyDescent="0.25">
      <c r="A255" s="15" cm="1">
        <f t="array" ref="A255">ROW()-ROW(Table946[#Headers])</f>
        <v>250</v>
      </c>
      <c r="B255" s="16" t="s">
        <v>282</v>
      </c>
      <c r="C255" s="16" t="s">
        <v>466</v>
      </c>
      <c r="D255" s="16" t="s">
        <v>467</v>
      </c>
      <c r="E255" s="16" t="s">
        <v>15</v>
      </c>
      <c r="F255" s="16" t="s">
        <v>26</v>
      </c>
      <c r="G255" s="6">
        <v>225000</v>
      </c>
      <c r="H255" s="15"/>
      <c r="L255" s="6">
        <f>Table946[[#This Row],[Harga Satuan]]*Table946[[#This Row],[Stock Akhir]]</f>
        <v>0</v>
      </c>
    </row>
    <row r="256" spans="1:12" hidden="1" x14ac:dyDescent="0.25">
      <c r="A256" s="15" cm="1">
        <f t="array" ref="A256">ROW()-ROW(Table946[#Headers])</f>
        <v>251</v>
      </c>
      <c r="B256" s="16" t="s">
        <v>282</v>
      </c>
      <c r="C256" s="16" t="s">
        <v>468</v>
      </c>
      <c r="D256" s="16" t="s">
        <v>469</v>
      </c>
      <c r="E256" s="16" t="s">
        <v>15</v>
      </c>
      <c r="F256" s="16" t="s">
        <v>26</v>
      </c>
      <c r="G256" s="6">
        <v>9500</v>
      </c>
      <c r="H256" s="15"/>
      <c r="L256" s="6">
        <f>Table946[[#This Row],[Harga Satuan]]*Table946[[#This Row],[Stock Akhir]]</f>
        <v>0</v>
      </c>
    </row>
    <row r="257" spans="1:12" hidden="1" x14ac:dyDescent="0.25">
      <c r="A257" s="15" cm="1">
        <f t="array" ref="A257">ROW()-ROW(Table946[#Headers])</f>
        <v>252</v>
      </c>
      <c r="B257" s="16" t="s">
        <v>282</v>
      </c>
      <c r="C257" s="16" t="s">
        <v>470</v>
      </c>
      <c r="D257" s="16" t="s">
        <v>471</v>
      </c>
      <c r="E257" s="16" t="s">
        <v>15</v>
      </c>
      <c r="F257" s="16" t="s">
        <v>26</v>
      </c>
      <c r="G257" s="6">
        <v>17000</v>
      </c>
      <c r="H257" s="15"/>
      <c r="L257" s="6">
        <f>Table946[[#This Row],[Harga Satuan]]*Table946[[#This Row],[Stock Akhir]]</f>
        <v>0</v>
      </c>
    </row>
    <row r="258" spans="1:12" hidden="1" x14ac:dyDescent="0.25">
      <c r="A258" s="15" cm="1">
        <f t="array" ref="A258">ROW()-ROW(Table946[#Headers])</f>
        <v>253</v>
      </c>
      <c r="B258" s="16" t="s">
        <v>282</v>
      </c>
      <c r="C258" s="16" t="s">
        <v>472</v>
      </c>
      <c r="D258" s="16" t="s">
        <v>473</v>
      </c>
      <c r="E258" s="16" t="s">
        <v>15</v>
      </c>
      <c r="F258" s="16" t="s">
        <v>30</v>
      </c>
      <c r="G258" s="6">
        <v>3000</v>
      </c>
      <c r="H258" s="15"/>
      <c r="L258" s="6">
        <f>Table946[[#This Row],[Harga Satuan]]*Table946[[#This Row],[Stock Akhir]]</f>
        <v>0</v>
      </c>
    </row>
    <row r="259" spans="1:12" hidden="1" x14ac:dyDescent="0.25">
      <c r="A259" s="15" cm="1">
        <f t="array" ref="A259">ROW()-ROW(Table946[#Headers])</f>
        <v>254</v>
      </c>
      <c r="B259" s="16" t="s">
        <v>282</v>
      </c>
      <c r="C259" s="16" t="s">
        <v>474</v>
      </c>
      <c r="D259" s="16" t="s">
        <v>475</v>
      </c>
      <c r="E259" s="16" t="s">
        <v>15</v>
      </c>
      <c r="F259" s="16" t="s">
        <v>30</v>
      </c>
      <c r="G259" s="6">
        <v>0</v>
      </c>
      <c r="H259" s="15"/>
      <c r="L259" s="6">
        <f>Table946[[#This Row],[Harga Satuan]]*Table946[[#This Row],[Stock Akhir]]</f>
        <v>0</v>
      </c>
    </row>
    <row r="260" spans="1:12" hidden="1" x14ac:dyDescent="0.25">
      <c r="A260" s="15" cm="1">
        <f t="array" ref="A260">ROW()-ROW(Table946[#Headers])</f>
        <v>255</v>
      </c>
      <c r="B260" s="16" t="s">
        <v>282</v>
      </c>
      <c r="C260" s="16" t="s">
        <v>476</v>
      </c>
      <c r="D260" s="16" t="s">
        <v>477</v>
      </c>
      <c r="E260" s="16" t="s">
        <v>15</v>
      </c>
      <c r="F260" s="16" t="s">
        <v>30</v>
      </c>
      <c r="G260" s="6">
        <v>4500</v>
      </c>
      <c r="H260" s="15"/>
      <c r="L260" s="6">
        <f>Table946[[#This Row],[Harga Satuan]]*Table946[[#This Row],[Stock Akhir]]</f>
        <v>0</v>
      </c>
    </row>
    <row r="261" spans="1:12" hidden="1" x14ac:dyDescent="0.25">
      <c r="A261" s="15" cm="1">
        <f t="array" ref="A261">ROW()-ROW(Table946[#Headers])</f>
        <v>256</v>
      </c>
      <c r="B261" s="16" t="s">
        <v>282</v>
      </c>
      <c r="C261" s="16" t="s">
        <v>478</v>
      </c>
      <c r="D261" s="16" t="s">
        <v>479</v>
      </c>
      <c r="E261" s="16" t="s">
        <v>15</v>
      </c>
      <c r="F261" s="16" t="s">
        <v>30</v>
      </c>
      <c r="G261" s="6">
        <v>10000</v>
      </c>
      <c r="H261" s="15"/>
      <c r="L261" s="6">
        <f>Table946[[#This Row],[Harga Satuan]]*Table946[[#This Row],[Stock Akhir]]</f>
        <v>0</v>
      </c>
    </row>
    <row r="262" spans="1:12" hidden="1" x14ac:dyDescent="0.25">
      <c r="A262" s="15" cm="1">
        <f t="array" ref="A262">ROW()-ROW(Table946[#Headers])</f>
        <v>257</v>
      </c>
      <c r="B262" s="16" t="s">
        <v>282</v>
      </c>
      <c r="C262" s="16" t="s">
        <v>480</v>
      </c>
      <c r="D262" s="16" t="s">
        <v>481</v>
      </c>
      <c r="E262" s="16" t="s">
        <v>15</v>
      </c>
      <c r="F262" s="16" t="s">
        <v>30</v>
      </c>
      <c r="G262" s="6">
        <v>12700</v>
      </c>
      <c r="H262" s="15"/>
      <c r="L262" s="6">
        <f>Table946[[#This Row],[Harga Satuan]]*Table946[[#This Row],[Stock Akhir]]</f>
        <v>0</v>
      </c>
    </row>
    <row r="263" spans="1:12" hidden="1" x14ac:dyDescent="0.25">
      <c r="A263" s="15" cm="1">
        <f t="array" ref="A263">ROW()-ROW(Table946[#Headers])</f>
        <v>258</v>
      </c>
      <c r="B263" s="16" t="s">
        <v>282</v>
      </c>
      <c r="C263" s="16" t="s">
        <v>482</v>
      </c>
      <c r="D263" s="16" t="s">
        <v>483</v>
      </c>
      <c r="E263" s="16" t="s">
        <v>15</v>
      </c>
      <c r="F263" s="16" t="s">
        <v>30</v>
      </c>
      <c r="G263" s="6">
        <v>12700</v>
      </c>
      <c r="H263" s="15"/>
      <c r="L263" s="6">
        <f>Table946[[#This Row],[Harga Satuan]]*Table946[[#This Row],[Stock Akhir]]</f>
        <v>0</v>
      </c>
    </row>
    <row r="264" spans="1:12" hidden="1" x14ac:dyDescent="0.25">
      <c r="A264" s="15" cm="1">
        <f t="array" ref="A264">ROW()-ROW(Table946[#Headers])</f>
        <v>259</v>
      </c>
      <c r="B264" s="16" t="s">
        <v>282</v>
      </c>
      <c r="C264" s="16" t="s">
        <v>484</v>
      </c>
      <c r="D264" s="24" t="s">
        <v>485</v>
      </c>
      <c r="E264" s="16" t="s">
        <v>15</v>
      </c>
      <c r="F264" s="16" t="s">
        <v>19</v>
      </c>
      <c r="G264" s="6">
        <v>1100</v>
      </c>
      <c r="H264" s="15"/>
      <c r="L264" s="6">
        <f>Table946[[#This Row],[Harga Satuan]]*Table946[[#This Row],[Stock Akhir]]</f>
        <v>0</v>
      </c>
    </row>
    <row r="265" spans="1:12" hidden="1" x14ac:dyDescent="0.25">
      <c r="A265" s="15" cm="1">
        <f t="array" ref="A265">ROW()-ROW(Table946[#Headers])</f>
        <v>260</v>
      </c>
      <c r="B265" s="16" t="s">
        <v>282</v>
      </c>
      <c r="C265" s="16" t="s">
        <v>486</v>
      </c>
      <c r="D265" s="16" t="s">
        <v>487</v>
      </c>
      <c r="E265" s="16" t="s">
        <v>15</v>
      </c>
      <c r="F265" s="16" t="s">
        <v>30</v>
      </c>
      <c r="G265" s="6">
        <v>1800</v>
      </c>
      <c r="H265" s="15"/>
      <c r="L265" s="6">
        <f>Table946[[#This Row],[Harga Satuan]]*Table946[[#This Row],[Stock Akhir]]</f>
        <v>0</v>
      </c>
    </row>
    <row r="266" spans="1:12" hidden="1" x14ac:dyDescent="0.25">
      <c r="A266" s="15" cm="1">
        <f t="array" ref="A266">ROW()-ROW(Table946[#Headers])</f>
        <v>261</v>
      </c>
      <c r="B266" s="16" t="s">
        <v>282</v>
      </c>
      <c r="C266" s="16" t="s">
        <v>488</v>
      </c>
      <c r="D266" s="16" t="s">
        <v>489</v>
      </c>
      <c r="E266" s="16" t="s">
        <v>15</v>
      </c>
      <c r="F266" s="16" t="s">
        <v>30</v>
      </c>
      <c r="G266" s="6">
        <v>8500</v>
      </c>
      <c r="H266" s="15"/>
      <c r="L266" s="6">
        <f>Table946[[#This Row],[Harga Satuan]]*Table946[[#This Row],[Stock Akhir]]</f>
        <v>0</v>
      </c>
    </row>
    <row r="267" spans="1:12" hidden="1" x14ac:dyDescent="0.25">
      <c r="A267" s="15" cm="1">
        <f t="array" ref="A267">ROW()-ROW(Table946[#Headers])</f>
        <v>262</v>
      </c>
      <c r="B267" s="16" t="s">
        <v>282</v>
      </c>
      <c r="C267" s="16" t="s">
        <v>490</v>
      </c>
      <c r="D267" s="16" t="s">
        <v>491</v>
      </c>
      <c r="E267" s="16" t="s">
        <v>15</v>
      </c>
      <c r="F267" s="16" t="s">
        <v>30</v>
      </c>
      <c r="G267" s="6">
        <v>193919</v>
      </c>
      <c r="H267" s="15"/>
      <c r="L267" s="6">
        <f>Table946[[#This Row],[Harga Satuan]]*Table946[[#This Row],[Stock Akhir]]</f>
        <v>0</v>
      </c>
    </row>
    <row r="268" spans="1:12" hidden="1" x14ac:dyDescent="0.25">
      <c r="A268" s="15" cm="1">
        <f t="array" ref="A268">ROW()-ROW(Table946[#Headers])</f>
        <v>263</v>
      </c>
      <c r="B268" s="16" t="s">
        <v>282</v>
      </c>
      <c r="C268" s="16" t="s">
        <v>492</v>
      </c>
      <c r="D268" s="16" t="s">
        <v>493</v>
      </c>
      <c r="E268" s="16" t="s">
        <v>15</v>
      </c>
      <c r="F268" s="16" t="s">
        <v>30</v>
      </c>
      <c r="G268" s="6">
        <v>166866</v>
      </c>
      <c r="H268" s="15"/>
      <c r="L268" s="6">
        <f>Table946[[#This Row],[Harga Satuan]]*Table946[[#This Row],[Stock Akhir]]</f>
        <v>0</v>
      </c>
    </row>
    <row r="269" spans="1:12" hidden="1" x14ac:dyDescent="0.25">
      <c r="A269" s="15" cm="1">
        <f t="array" ref="A269">ROW()-ROW(Table946[#Headers])</f>
        <v>264</v>
      </c>
      <c r="B269" s="16" t="s">
        <v>282</v>
      </c>
      <c r="C269" s="16" t="s">
        <v>494</v>
      </c>
      <c r="D269" s="16" t="s">
        <v>495</v>
      </c>
      <c r="E269" s="16" t="s">
        <v>15</v>
      </c>
      <c r="F269" s="16" t="s">
        <v>30</v>
      </c>
      <c r="G269" s="6">
        <v>264784</v>
      </c>
      <c r="H269" s="15"/>
      <c r="L269" s="6">
        <f>Table946[[#This Row],[Harga Satuan]]*Table946[[#This Row],[Stock Akhir]]</f>
        <v>0</v>
      </c>
    </row>
    <row r="270" spans="1:12" hidden="1" x14ac:dyDescent="0.25">
      <c r="A270" s="15" cm="1">
        <f t="array" ref="A270">ROW()-ROW(Table946[#Headers])</f>
        <v>265</v>
      </c>
      <c r="B270" s="16" t="s">
        <v>282</v>
      </c>
      <c r="C270" s="16" t="s">
        <v>496</v>
      </c>
      <c r="D270" s="16" t="s">
        <v>497</v>
      </c>
      <c r="E270" s="16" t="s">
        <v>15</v>
      </c>
      <c r="F270" s="16" t="s">
        <v>30</v>
      </c>
      <c r="G270" s="6">
        <v>264784</v>
      </c>
      <c r="H270" s="15"/>
      <c r="L270" s="6">
        <f>Table946[[#This Row],[Harga Satuan]]*Table946[[#This Row],[Stock Akhir]]</f>
        <v>0</v>
      </c>
    </row>
    <row r="271" spans="1:12" hidden="1" x14ac:dyDescent="0.25">
      <c r="A271" s="15" cm="1">
        <f t="array" ref="A271">ROW()-ROW(Table946[#Headers])</f>
        <v>266</v>
      </c>
      <c r="B271" s="16" t="s">
        <v>282</v>
      </c>
      <c r="C271" s="16" t="s">
        <v>498</v>
      </c>
      <c r="D271" s="16" t="s">
        <v>499</v>
      </c>
      <c r="E271" s="16" t="s">
        <v>15</v>
      </c>
      <c r="F271" s="16" t="s">
        <v>19</v>
      </c>
      <c r="G271" s="6">
        <v>8000</v>
      </c>
      <c r="H271" s="15"/>
      <c r="L271" s="6">
        <f>Table946[[#This Row],[Harga Satuan]]*Table946[[#This Row],[Stock Akhir]]</f>
        <v>0</v>
      </c>
    </row>
    <row r="272" spans="1:12" hidden="1" x14ac:dyDescent="0.25">
      <c r="A272" s="5" cm="1">
        <f t="array" ref="A272">ROW()-ROW(Table946[#Headers])</f>
        <v>267</v>
      </c>
      <c r="D272" s="4" t="s">
        <v>500</v>
      </c>
      <c r="E272" s="4" t="s">
        <v>15</v>
      </c>
      <c r="F272" s="4" t="s">
        <v>19</v>
      </c>
      <c r="G272" s="6">
        <v>10000</v>
      </c>
      <c r="L272" s="6">
        <f>Table946[[#This Row],[Harga Satuan]]*Table946[[#This Row],[Stock Akhir]]</f>
        <v>0</v>
      </c>
    </row>
    <row r="273" spans="1:12" hidden="1" x14ac:dyDescent="0.25">
      <c r="A273" s="15" cm="1">
        <f t="array" ref="A273">ROW()-ROW(Table946[#Headers])</f>
        <v>268</v>
      </c>
      <c r="B273" s="16" t="s">
        <v>282</v>
      </c>
      <c r="C273" s="16" t="s">
        <v>501</v>
      </c>
      <c r="D273" s="16" t="s">
        <v>502</v>
      </c>
      <c r="E273" s="16" t="s">
        <v>15</v>
      </c>
      <c r="F273" s="16" t="s">
        <v>19</v>
      </c>
      <c r="G273" s="6">
        <v>10000</v>
      </c>
      <c r="H273" s="15"/>
      <c r="L273" s="6">
        <f>Table946[[#This Row],[Harga Satuan]]*Table946[[#This Row],[Stock Akhir]]</f>
        <v>0</v>
      </c>
    </row>
    <row r="274" spans="1:12" hidden="1" x14ac:dyDescent="0.25">
      <c r="A274" s="5" cm="1">
        <f t="array" ref="A274">ROW()-ROW(Table946[#Headers])</f>
        <v>269</v>
      </c>
      <c r="D274" s="4" t="s">
        <v>503</v>
      </c>
      <c r="E274" s="4" t="s">
        <v>15</v>
      </c>
      <c r="F274" s="4" t="s">
        <v>19</v>
      </c>
      <c r="G274" s="6">
        <v>198400</v>
      </c>
      <c r="L274" s="6">
        <f>Table946[[#This Row],[Harga Satuan]]*Table946[[#This Row],[Stock Akhir]]</f>
        <v>0</v>
      </c>
    </row>
    <row r="275" spans="1:12" hidden="1" x14ac:dyDescent="0.25">
      <c r="A275" s="15" cm="1">
        <f t="array" ref="A275">ROW()-ROW(Table946[#Headers])</f>
        <v>270</v>
      </c>
      <c r="B275" s="16" t="s">
        <v>282</v>
      </c>
      <c r="C275" s="16" t="s">
        <v>504</v>
      </c>
      <c r="D275" s="16" t="s">
        <v>505</v>
      </c>
      <c r="E275" s="16" t="s">
        <v>15</v>
      </c>
      <c r="F275" s="16" t="s">
        <v>19</v>
      </c>
      <c r="G275" s="6">
        <v>5000</v>
      </c>
      <c r="H275" s="15"/>
      <c r="L275" s="6">
        <f>Table946[[#This Row],[Harga Satuan]]*Table946[[#This Row],[Stock Akhir]]</f>
        <v>0</v>
      </c>
    </row>
    <row r="276" spans="1:12" hidden="1" x14ac:dyDescent="0.25">
      <c r="A276" s="15" cm="1">
        <f t="array" ref="A276">ROW()-ROW(Table946[#Headers])</f>
        <v>271</v>
      </c>
      <c r="B276" s="16" t="s">
        <v>282</v>
      </c>
      <c r="C276" s="16" t="s">
        <v>506</v>
      </c>
      <c r="D276" s="16" t="s">
        <v>507</v>
      </c>
      <c r="E276" s="16" t="s">
        <v>15</v>
      </c>
      <c r="F276" s="16" t="s">
        <v>19</v>
      </c>
      <c r="G276" s="6">
        <v>0</v>
      </c>
      <c r="H276" s="15"/>
      <c r="L276" s="6">
        <f>Table946[[#This Row],[Harga Satuan]]*Table946[[#This Row],[Stock Akhir]]</f>
        <v>0</v>
      </c>
    </row>
    <row r="277" spans="1:12" hidden="1" x14ac:dyDescent="0.25">
      <c r="A277" s="15" cm="1">
        <f t="array" ref="A277">ROW()-ROW(Table946[#Headers])</f>
        <v>272</v>
      </c>
      <c r="B277" s="16" t="s">
        <v>282</v>
      </c>
      <c r="C277" s="16" t="s">
        <v>508</v>
      </c>
      <c r="D277" s="16" t="s">
        <v>509</v>
      </c>
      <c r="E277" s="16" t="s">
        <v>15</v>
      </c>
      <c r="F277" s="16" t="s">
        <v>19</v>
      </c>
      <c r="G277" s="6">
        <v>0</v>
      </c>
      <c r="H277" s="15"/>
      <c r="L277" s="6">
        <f>Table946[[#This Row],[Harga Satuan]]*Table946[[#This Row],[Stock Akhir]]</f>
        <v>0</v>
      </c>
    </row>
    <row r="278" spans="1:12" hidden="1" x14ac:dyDescent="0.25">
      <c r="A278" s="15" cm="1">
        <f t="array" ref="A278">ROW()-ROW(Table946[#Headers])</f>
        <v>273</v>
      </c>
      <c r="B278" s="16" t="s">
        <v>282</v>
      </c>
      <c r="C278" s="16" t="s">
        <v>510</v>
      </c>
      <c r="D278" s="16" t="s">
        <v>511</v>
      </c>
      <c r="E278" s="16" t="s">
        <v>15</v>
      </c>
      <c r="F278" s="16" t="s">
        <v>19</v>
      </c>
      <c r="G278" s="6">
        <v>275</v>
      </c>
      <c r="H278" s="15"/>
      <c r="L278" s="6">
        <f>Table946[[#This Row],[Harga Satuan]]*Table946[[#This Row],[Stock Akhir]]</f>
        <v>0</v>
      </c>
    </row>
    <row r="279" spans="1:12" hidden="1" x14ac:dyDescent="0.25">
      <c r="A279" s="15" cm="1">
        <f t="array" ref="A279">ROW()-ROW(Table946[#Headers])</f>
        <v>274</v>
      </c>
      <c r="B279" s="16" t="s">
        <v>282</v>
      </c>
      <c r="C279" s="16" t="s">
        <v>512</v>
      </c>
      <c r="D279" s="16" t="s">
        <v>513</v>
      </c>
      <c r="E279" s="16" t="s">
        <v>15</v>
      </c>
      <c r="F279" s="16" t="s">
        <v>19</v>
      </c>
      <c r="G279" s="6">
        <v>275</v>
      </c>
      <c r="H279" s="15"/>
      <c r="L279" s="6">
        <f>Table946[[#This Row],[Harga Satuan]]*Table946[[#This Row],[Stock Akhir]]</f>
        <v>0</v>
      </c>
    </row>
    <row r="280" spans="1:12" hidden="1" x14ac:dyDescent="0.25">
      <c r="A280" s="15" cm="1">
        <f t="array" ref="A280">ROW()-ROW(Table946[#Headers])</f>
        <v>275</v>
      </c>
      <c r="B280" s="16" t="s">
        <v>282</v>
      </c>
      <c r="C280" s="16" t="s">
        <v>514</v>
      </c>
      <c r="D280" s="16" t="s">
        <v>515</v>
      </c>
      <c r="E280" s="16" t="s">
        <v>15</v>
      </c>
      <c r="F280" s="16" t="s">
        <v>19</v>
      </c>
      <c r="G280" s="6">
        <v>350</v>
      </c>
      <c r="H280" s="15"/>
      <c r="L280" s="6">
        <f>Table946[[#This Row],[Harga Satuan]]*Table946[[#This Row],[Stock Akhir]]</f>
        <v>0</v>
      </c>
    </row>
    <row r="281" spans="1:12" hidden="1" x14ac:dyDescent="0.25">
      <c r="A281" s="15" cm="1">
        <f t="array" ref="A281">ROW()-ROW(Table946[#Headers])</f>
        <v>276</v>
      </c>
      <c r="B281" s="16" t="s">
        <v>282</v>
      </c>
      <c r="C281" s="16" t="s">
        <v>516</v>
      </c>
      <c r="D281" s="16" t="s">
        <v>517</v>
      </c>
      <c r="E281" s="16" t="s">
        <v>15</v>
      </c>
      <c r="F281" s="16" t="s">
        <v>19</v>
      </c>
      <c r="G281" s="6">
        <v>750</v>
      </c>
      <c r="H281" s="15"/>
      <c r="L281" s="6">
        <f>Table946[[#This Row],[Harga Satuan]]*Table946[[#This Row],[Stock Akhir]]</f>
        <v>0</v>
      </c>
    </row>
    <row r="282" spans="1:12" hidden="1" x14ac:dyDescent="0.25">
      <c r="A282" s="15" cm="1">
        <f t="array" ref="A282">ROW()-ROW(Table946[#Headers])</f>
        <v>277</v>
      </c>
      <c r="B282" s="16" t="s">
        <v>282</v>
      </c>
      <c r="C282" s="16" t="s">
        <v>518</v>
      </c>
      <c r="D282" s="16" t="s">
        <v>519</v>
      </c>
      <c r="E282" s="16" t="s">
        <v>15</v>
      </c>
      <c r="F282" s="16" t="s">
        <v>19</v>
      </c>
      <c r="G282" s="6">
        <v>825</v>
      </c>
      <c r="H282" s="15"/>
      <c r="L282" s="6">
        <f>Table946[[#This Row],[Harga Satuan]]*Table946[[#This Row],[Stock Akhir]]</f>
        <v>0</v>
      </c>
    </row>
    <row r="283" spans="1:12" hidden="1" x14ac:dyDescent="0.25">
      <c r="A283" s="15" cm="1">
        <f t="array" ref="A283">ROW()-ROW(Table946[#Headers])</f>
        <v>278</v>
      </c>
      <c r="B283" s="16" t="s">
        <v>282</v>
      </c>
      <c r="C283" s="16" t="s">
        <v>520</v>
      </c>
      <c r="D283" s="16" t="s">
        <v>521</v>
      </c>
      <c r="E283" s="16" t="s">
        <v>15</v>
      </c>
      <c r="F283" s="16" t="s">
        <v>19</v>
      </c>
      <c r="G283" s="6">
        <v>100000</v>
      </c>
      <c r="H283" s="15"/>
      <c r="L283" s="6">
        <f>Table946[[#This Row],[Harga Satuan]]*Table946[[#This Row],[Stock Akhir]]</f>
        <v>0</v>
      </c>
    </row>
    <row r="284" spans="1:12" hidden="1" x14ac:dyDescent="0.25">
      <c r="A284" s="15" cm="1">
        <f t="array" ref="A284">ROW()-ROW(Table946[#Headers])</f>
        <v>279</v>
      </c>
      <c r="B284" s="16" t="s">
        <v>282</v>
      </c>
      <c r="C284" s="16" t="s">
        <v>522</v>
      </c>
      <c r="D284" s="16" t="s">
        <v>523</v>
      </c>
      <c r="E284" s="16" t="s">
        <v>15</v>
      </c>
      <c r="F284" s="16" t="s">
        <v>19</v>
      </c>
      <c r="G284" s="6">
        <v>13000</v>
      </c>
      <c r="H284" s="15"/>
      <c r="L284" s="6">
        <f>Table946[[#This Row],[Harga Satuan]]*Table946[[#This Row],[Stock Akhir]]</f>
        <v>0</v>
      </c>
    </row>
    <row r="285" spans="1:12" hidden="1" x14ac:dyDescent="0.25">
      <c r="A285" s="15" cm="1">
        <f t="array" ref="A285">ROW()-ROW(Table946[#Headers])</f>
        <v>280</v>
      </c>
      <c r="B285" s="16" t="s">
        <v>282</v>
      </c>
      <c r="C285" s="16" t="s">
        <v>524</v>
      </c>
      <c r="D285" s="16" t="s">
        <v>525</v>
      </c>
      <c r="E285" s="16" t="s">
        <v>15</v>
      </c>
      <c r="F285" s="16" t="s">
        <v>19</v>
      </c>
      <c r="G285" s="6">
        <v>11000</v>
      </c>
      <c r="H285" s="15"/>
      <c r="L285" s="6">
        <f>Table946[[#This Row],[Harga Satuan]]*Table946[[#This Row],[Stock Akhir]]</f>
        <v>0</v>
      </c>
    </row>
    <row r="286" spans="1:12" hidden="1" x14ac:dyDescent="0.25">
      <c r="A286" s="15" cm="1">
        <f t="array" ref="A286">ROW()-ROW(Table946[#Headers])</f>
        <v>281</v>
      </c>
      <c r="B286" s="16" t="s">
        <v>282</v>
      </c>
      <c r="C286" s="16" t="s">
        <v>526</v>
      </c>
      <c r="D286" s="16" t="s">
        <v>527</v>
      </c>
      <c r="E286" s="16" t="s">
        <v>15</v>
      </c>
      <c r="F286" s="16" t="s">
        <v>19</v>
      </c>
      <c r="G286" s="6">
        <v>13000</v>
      </c>
      <c r="H286" s="15"/>
      <c r="L286" s="6">
        <f>Table946[[#This Row],[Harga Satuan]]*Table946[[#This Row],[Stock Akhir]]</f>
        <v>0</v>
      </c>
    </row>
    <row r="287" spans="1:12" hidden="1" x14ac:dyDescent="0.25">
      <c r="A287" s="15" cm="1">
        <f t="array" ref="A287">ROW()-ROW(Table946[#Headers])</f>
        <v>282</v>
      </c>
      <c r="B287" s="16" t="s">
        <v>282</v>
      </c>
      <c r="C287" s="16" t="s">
        <v>528</v>
      </c>
      <c r="D287" s="16" t="s">
        <v>529</v>
      </c>
      <c r="E287" s="16" t="s">
        <v>15</v>
      </c>
      <c r="F287" s="16" t="s">
        <v>19</v>
      </c>
      <c r="G287" s="6">
        <v>80000</v>
      </c>
      <c r="H287" s="15"/>
      <c r="L287" s="6">
        <f>Table946[[#This Row],[Harga Satuan]]*Table946[[#This Row],[Stock Akhir]]</f>
        <v>0</v>
      </c>
    </row>
    <row r="288" spans="1:12" hidden="1" x14ac:dyDescent="0.25">
      <c r="A288" s="15" cm="1">
        <f t="array" ref="A288">ROW()-ROW(Table946[#Headers])</f>
        <v>283</v>
      </c>
      <c r="B288" s="16" t="s">
        <v>282</v>
      </c>
      <c r="C288" s="25" t="s">
        <v>530</v>
      </c>
      <c r="D288" s="16" t="s">
        <v>531</v>
      </c>
      <c r="E288" s="16" t="s">
        <v>15</v>
      </c>
      <c r="F288" s="16" t="s">
        <v>19</v>
      </c>
      <c r="G288" s="6">
        <v>64000</v>
      </c>
      <c r="H288" s="15"/>
      <c r="L288" s="6">
        <f>Table946[[#This Row],[Harga Satuan]]*Table946[[#This Row],[Stock Akhir]]</f>
        <v>0</v>
      </c>
    </row>
    <row r="289" spans="1:12" hidden="1" x14ac:dyDescent="0.25">
      <c r="A289" s="15" cm="1">
        <f t="array" ref="A289">ROW()-ROW(Table946[#Headers])</f>
        <v>284</v>
      </c>
      <c r="B289" s="16" t="s">
        <v>282</v>
      </c>
      <c r="C289" s="25" t="s">
        <v>532</v>
      </c>
      <c r="D289" s="16" t="s">
        <v>533</v>
      </c>
      <c r="E289" s="16" t="s">
        <v>15</v>
      </c>
      <c r="F289" s="16" t="s">
        <v>19</v>
      </c>
      <c r="G289" s="6">
        <v>117500</v>
      </c>
      <c r="H289" s="15"/>
      <c r="L289" s="6">
        <f>Table946[[#This Row],[Harga Satuan]]*Table946[[#This Row],[Stock Akhir]]</f>
        <v>0</v>
      </c>
    </row>
    <row r="290" spans="1:12" hidden="1" x14ac:dyDescent="0.25">
      <c r="A290" s="15" cm="1">
        <f t="array" ref="A290">ROW()-ROW(Table946[#Headers])</f>
        <v>285</v>
      </c>
      <c r="B290" s="16" t="s">
        <v>282</v>
      </c>
      <c r="C290" s="18" t="s">
        <v>534</v>
      </c>
      <c r="D290" s="19" t="s">
        <v>535</v>
      </c>
      <c r="E290" s="16" t="s">
        <v>15</v>
      </c>
      <c r="F290" s="16" t="s">
        <v>19</v>
      </c>
      <c r="G290" s="6">
        <v>0</v>
      </c>
      <c r="H290" s="15"/>
      <c r="L290" s="6">
        <f>Table946[[#This Row],[Harga Satuan]]*Table946[[#This Row],[Stock Akhir]]</f>
        <v>0</v>
      </c>
    </row>
    <row r="291" spans="1:12" hidden="1" x14ac:dyDescent="0.25">
      <c r="A291" s="15" cm="1">
        <f t="array" ref="A291">ROW()-ROW(Table946[#Headers])</f>
        <v>286</v>
      </c>
      <c r="B291" s="16" t="s">
        <v>282</v>
      </c>
      <c r="C291" s="18" t="s">
        <v>534</v>
      </c>
      <c r="D291" s="19" t="s">
        <v>535</v>
      </c>
      <c r="E291" s="16" t="s">
        <v>15</v>
      </c>
      <c r="F291" s="16" t="s">
        <v>19</v>
      </c>
      <c r="G291" s="6">
        <v>0</v>
      </c>
      <c r="H291" s="15"/>
      <c r="L291" s="6">
        <f>Table946[[#This Row],[Harga Satuan]]*Table946[[#This Row],[Stock Akhir]]</f>
        <v>0</v>
      </c>
    </row>
    <row r="292" spans="1:12" hidden="1" x14ac:dyDescent="0.25">
      <c r="A292" s="15" cm="1">
        <f t="array" ref="A292">ROW()-ROW(Table946[#Headers])</f>
        <v>287</v>
      </c>
      <c r="B292" s="16" t="s">
        <v>282</v>
      </c>
      <c r="C292" s="16" t="s">
        <v>536</v>
      </c>
      <c r="D292" s="16" t="s">
        <v>537</v>
      </c>
      <c r="E292" s="16" t="s">
        <v>15</v>
      </c>
      <c r="F292" s="16" t="s">
        <v>19</v>
      </c>
      <c r="G292" s="6">
        <v>0</v>
      </c>
      <c r="H292" s="15"/>
      <c r="L292" s="6">
        <f>Table946[[#This Row],[Harga Satuan]]*Table946[[#This Row],[Stock Akhir]]</f>
        <v>0</v>
      </c>
    </row>
    <row r="293" spans="1:12" hidden="1" x14ac:dyDescent="0.25">
      <c r="A293" s="15" cm="1">
        <f t="array" ref="A293">ROW()-ROW(Table946[#Headers])</f>
        <v>288</v>
      </c>
      <c r="B293" s="16" t="s">
        <v>282</v>
      </c>
      <c r="C293" s="16" t="s">
        <v>538</v>
      </c>
      <c r="D293" s="16" t="s">
        <v>539</v>
      </c>
      <c r="E293" s="16" t="s">
        <v>15</v>
      </c>
      <c r="F293" s="16" t="s">
        <v>19</v>
      </c>
      <c r="G293" s="6">
        <v>5000</v>
      </c>
      <c r="H293" s="15"/>
      <c r="L293" s="6">
        <f>Table946[[#This Row],[Harga Satuan]]*Table946[[#This Row],[Stock Akhir]]</f>
        <v>0</v>
      </c>
    </row>
    <row r="294" spans="1:12" hidden="1" x14ac:dyDescent="0.25">
      <c r="A294" s="15" cm="1">
        <f t="array" ref="A294">ROW()-ROW(Table946[#Headers])</f>
        <v>289</v>
      </c>
      <c r="B294" s="16" t="s">
        <v>282</v>
      </c>
      <c r="C294" s="16" t="s">
        <v>540</v>
      </c>
      <c r="D294" s="16" t="s">
        <v>541</v>
      </c>
      <c r="E294" s="16" t="s">
        <v>15</v>
      </c>
      <c r="F294" s="16" t="s">
        <v>19</v>
      </c>
      <c r="G294" s="6">
        <v>450</v>
      </c>
      <c r="H294" s="15"/>
      <c r="L294" s="6">
        <f>Table946[[#This Row],[Harga Satuan]]*Table946[[#This Row],[Stock Akhir]]</f>
        <v>0</v>
      </c>
    </row>
    <row r="295" spans="1:12" hidden="1" x14ac:dyDescent="0.25">
      <c r="A295" s="15" cm="1">
        <f t="array" ref="A295">ROW()-ROW(Table946[#Headers])</f>
        <v>290</v>
      </c>
      <c r="B295" s="16" t="s">
        <v>282</v>
      </c>
      <c r="C295" s="16" t="s">
        <v>542</v>
      </c>
      <c r="D295" s="16" t="s">
        <v>543</v>
      </c>
      <c r="E295" s="16" t="s">
        <v>15</v>
      </c>
      <c r="F295" s="16" t="s">
        <v>19</v>
      </c>
      <c r="G295" s="6">
        <v>450</v>
      </c>
      <c r="H295" s="15"/>
      <c r="L295" s="6">
        <f>Table946[[#This Row],[Harga Satuan]]*Table946[[#This Row],[Stock Akhir]]</f>
        <v>0</v>
      </c>
    </row>
    <row r="296" spans="1:12" hidden="1" x14ac:dyDescent="0.25">
      <c r="A296" s="15" cm="1">
        <f t="array" ref="A296">ROW()-ROW(Table946[#Headers])</f>
        <v>291</v>
      </c>
      <c r="B296" s="16" t="s">
        <v>282</v>
      </c>
      <c r="C296" s="16" t="s">
        <v>544</v>
      </c>
      <c r="D296" s="16" t="s">
        <v>545</v>
      </c>
      <c r="E296" s="16" t="s">
        <v>15</v>
      </c>
      <c r="F296" s="16" t="s">
        <v>19</v>
      </c>
      <c r="G296" s="6">
        <v>450</v>
      </c>
      <c r="H296" s="15"/>
      <c r="L296" s="6">
        <f>Table946[[#This Row],[Harga Satuan]]*Table946[[#This Row],[Stock Akhir]]</f>
        <v>0</v>
      </c>
    </row>
    <row r="297" spans="1:12" hidden="1" x14ac:dyDescent="0.25">
      <c r="A297" s="15" cm="1">
        <f t="array" ref="A297">ROW()-ROW(Table946[#Headers])</f>
        <v>292</v>
      </c>
      <c r="B297" s="16" t="s">
        <v>282</v>
      </c>
      <c r="C297" s="16" t="s">
        <v>546</v>
      </c>
      <c r="D297" s="16" t="s">
        <v>547</v>
      </c>
      <c r="E297" s="16" t="s">
        <v>15</v>
      </c>
      <c r="F297" s="16" t="s">
        <v>19</v>
      </c>
      <c r="G297" s="6">
        <v>50000</v>
      </c>
      <c r="H297" s="15"/>
      <c r="L297" s="6">
        <f>Table946[[#This Row],[Harga Satuan]]*Table946[[#This Row],[Stock Akhir]]</f>
        <v>0</v>
      </c>
    </row>
    <row r="298" spans="1:12" hidden="1" x14ac:dyDescent="0.25">
      <c r="A298" s="15" cm="1">
        <f t="array" ref="A298">ROW()-ROW(Table946[#Headers])</f>
        <v>293</v>
      </c>
      <c r="B298" s="16" t="s">
        <v>282</v>
      </c>
      <c r="C298" s="16" t="s">
        <v>548</v>
      </c>
      <c r="D298" s="16" t="s">
        <v>549</v>
      </c>
      <c r="E298" s="16" t="s">
        <v>15</v>
      </c>
      <c r="F298" s="16" t="s">
        <v>19</v>
      </c>
      <c r="G298" s="6">
        <v>45000</v>
      </c>
      <c r="H298" s="15"/>
      <c r="L298" s="6">
        <f>Table946[[#This Row],[Harga Satuan]]*Table946[[#This Row],[Stock Akhir]]</f>
        <v>0</v>
      </c>
    </row>
    <row r="299" spans="1:12" hidden="1" x14ac:dyDescent="0.25">
      <c r="A299" s="15" cm="1">
        <f t="array" ref="A299">ROW()-ROW(Table946[#Headers])</f>
        <v>294</v>
      </c>
      <c r="B299" s="16" t="s">
        <v>282</v>
      </c>
      <c r="C299" s="16" t="s">
        <v>550</v>
      </c>
      <c r="D299" s="16" t="s">
        <v>551</v>
      </c>
      <c r="E299" s="16" t="s">
        <v>15</v>
      </c>
      <c r="F299" s="16" t="s">
        <v>19</v>
      </c>
      <c r="G299" s="6">
        <v>275</v>
      </c>
      <c r="H299" s="15"/>
      <c r="L299" s="6">
        <f>Table946[[#This Row],[Harga Satuan]]*Table946[[#This Row],[Stock Akhir]]</f>
        <v>0</v>
      </c>
    </row>
    <row r="300" spans="1:12" hidden="1" x14ac:dyDescent="0.25">
      <c r="A300" s="15" cm="1">
        <f t="array" ref="A300">ROW()-ROW(Table946[#Headers])</f>
        <v>295</v>
      </c>
      <c r="B300" s="16" t="s">
        <v>282</v>
      </c>
      <c r="C300" s="16" t="s">
        <v>552</v>
      </c>
      <c r="D300" s="16" t="s">
        <v>553</v>
      </c>
      <c r="E300" s="16" t="s">
        <v>15</v>
      </c>
      <c r="F300" s="16" t="s">
        <v>19</v>
      </c>
      <c r="G300" s="6">
        <v>275</v>
      </c>
      <c r="H300" s="15"/>
      <c r="L300" s="6">
        <f>Table946[[#This Row],[Harga Satuan]]*Table946[[#This Row],[Stock Akhir]]</f>
        <v>0</v>
      </c>
    </row>
    <row r="301" spans="1:12" hidden="1" x14ac:dyDescent="0.25">
      <c r="A301" s="15" cm="1">
        <f t="array" ref="A301">ROW()-ROW(Table946[#Headers])</f>
        <v>296</v>
      </c>
      <c r="B301" s="16" t="s">
        <v>282</v>
      </c>
      <c r="C301" s="16" t="s">
        <v>554</v>
      </c>
      <c r="D301" s="16" t="s">
        <v>555</v>
      </c>
      <c r="E301" s="16" t="s">
        <v>15</v>
      </c>
      <c r="F301" s="16" t="s">
        <v>19</v>
      </c>
      <c r="G301" s="6">
        <v>180</v>
      </c>
      <c r="H301" s="15"/>
      <c r="L301" s="6">
        <f>Table946[[#This Row],[Harga Satuan]]*Table946[[#This Row],[Stock Akhir]]</f>
        <v>0</v>
      </c>
    </row>
    <row r="302" spans="1:12" hidden="1" x14ac:dyDescent="0.25">
      <c r="A302" s="15" cm="1">
        <f t="array" ref="A302">ROW()-ROW(Table946[#Headers])</f>
        <v>297</v>
      </c>
      <c r="B302" s="16" t="s">
        <v>282</v>
      </c>
      <c r="C302" s="16" t="s">
        <v>556</v>
      </c>
      <c r="D302" s="16" t="s">
        <v>557</v>
      </c>
      <c r="E302" s="16" t="s">
        <v>15</v>
      </c>
      <c r="F302" s="16" t="s">
        <v>19</v>
      </c>
      <c r="G302" s="6">
        <v>700</v>
      </c>
      <c r="H302" s="15"/>
      <c r="L302" s="6">
        <f>Table946[[#This Row],[Harga Satuan]]*Table946[[#This Row],[Stock Akhir]]</f>
        <v>0</v>
      </c>
    </row>
    <row r="303" spans="1:12" hidden="1" x14ac:dyDescent="0.25">
      <c r="A303" s="15" cm="1">
        <f t="array" ref="A303">ROW()-ROW(Table946[#Headers])</f>
        <v>298</v>
      </c>
      <c r="B303" s="16" t="s">
        <v>282</v>
      </c>
      <c r="C303" s="18" t="s">
        <v>558</v>
      </c>
      <c r="D303" s="19" t="s">
        <v>559</v>
      </c>
      <c r="E303" s="16" t="s">
        <v>15</v>
      </c>
      <c r="F303" s="16" t="s">
        <v>30</v>
      </c>
      <c r="G303" s="6">
        <v>2900</v>
      </c>
      <c r="H303" s="15"/>
      <c r="L303" s="6">
        <f>Table946[[#This Row],[Harga Satuan]]*Table946[[#This Row],[Stock Akhir]]</f>
        <v>0</v>
      </c>
    </row>
    <row r="304" spans="1:12" hidden="1" x14ac:dyDescent="0.25">
      <c r="A304" s="15" cm="1">
        <f t="array" ref="A304">ROW()-ROW(Table946[#Headers])</f>
        <v>299</v>
      </c>
      <c r="B304" s="16" t="s">
        <v>282</v>
      </c>
      <c r="C304" s="18" t="s">
        <v>560</v>
      </c>
      <c r="D304" s="19" t="s">
        <v>561</v>
      </c>
      <c r="E304" s="16" t="s">
        <v>15</v>
      </c>
      <c r="F304" s="16" t="s">
        <v>30</v>
      </c>
      <c r="G304" s="6">
        <v>0</v>
      </c>
      <c r="H304" s="15"/>
      <c r="L304" s="6">
        <f>Table946[[#This Row],[Harga Satuan]]*Table946[[#This Row],[Stock Akhir]]</f>
        <v>0</v>
      </c>
    </row>
    <row r="305" spans="1:12" hidden="1" x14ac:dyDescent="0.25">
      <c r="A305" s="15" cm="1">
        <f t="array" ref="A305">ROW()-ROW(Table946[#Headers])</f>
        <v>300</v>
      </c>
      <c r="B305" s="16" t="s">
        <v>282</v>
      </c>
      <c r="C305" s="18" t="s">
        <v>562</v>
      </c>
      <c r="D305" s="19" t="s">
        <v>563</v>
      </c>
      <c r="E305" s="16" t="s">
        <v>15</v>
      </c>
      <c r="F305" s="16" t="s">
        <v>30</v>
      </c>
      <c r="G305" s="6">
        <v>0</v>
      </c>
      <c r="H305" s="15"/>
      <c r="L305" s="6">
        <f>Table946[[#This Row],[Harga Satuan]]*Table946[[#This Row],[Stock Akhir]]</f>
        <v>0</v>
      </c>
    </row>
    <row r="306" spans="1:12" hidden="1" x14ac:dyDescent="0.25">
      <c r="A306" s="15" cm="1">
        <f t="array" ref="A306">ROW()-ROW(Table946[#Headers])</f>
        <v>301</v>
      </c>
      <c r="B306" s="16" t="s">
        <v>282</v>
      </c>
      <c r="C306" s="18" t="s">
        <v>564</v>
      </c>
      <c r="D306" s="19" t="s">
        <v>565</v>
      </c>
      <c r="E306" s="16" t="s">
        <v>15</v>
      </c>
      <c r="F306" s="16" t="s">
        <v>30</v>
      </c>
      <c r="G306" s="6">
        <v>0</v>
      </c>
      <c r="H306" s="15"/>
      <c r="L306" s="6">
        <f>Table946[[#This Row],[Harga Satuan]]*Table946[[#This Row],[Stock Akhir]]</f>
        <v>0</v>
      </c>
    </row>
    <row r="307" spans="1:12" hidden="1" x14ac:dyDescent="0.25">
      <c r="A307" s="15" cm="1">
        <f t="array" ref="A307">ROW()-ROW(Table946[#Headers])</f>
        <v>302</v>
      </c>
      <c r="B307" s="16" t="s">
        <v>282</v>
      </c>
      <c r="C307" s="18" t="s">
        <v>566</v>
      </c>
      <c r="D307" s="19" t="s">
        <v>567</v>
      </c>
      <c r="E307" s="16" t="s">
        <v>15</v>
      </c>
      <c r="F307" s="16" t="s">
        <v>30</v>
      </c>
      <c r="G307" s="6">
        <v>0</v>
      </c>
      <c r="H307" s="15"/>
      <c r="L307" s="6">
        <f>Table946[[#This Row],[Harga Satuan]]*Table946[[#This Row],[Stock Akhir]]</f>
        <v>0</v>
      </c>
    </row>
    <row r="308" spans="1:12" hidden="1" x14ac:dyDescent="0.25">
      <c r="A308" s="20" cm="1">
        <f t="array" ref="A308">ROW()-ROW(Table946[#Headers])</f>
        <v>303</v>
      </c>
      <c r="B308" s="21" t="s">
        <v>282</v>
      </c>
      <c r="C308" s="26" t="s">
        <v>568</v>
      </c>
      <c r="D308" s="27" t="s">
        <v>569</v>
      </c>
      <c r="E308" s="21" t="s">
        <v>15</v>
      </c>
      <c r="F308" s="21" t="s">
        <v>30</v>
      </c>
      <c r="G308" s="6">
        <v>0</v>
      </c>
      <c r="H308" s="20"/>
      <c r="L308" s="6">
        <f>Table946[[#This Row],[Harga Satuan]]*Table946[[#This Row],[Stock Akhir]]</f>
        <v>0</v>
      </c>
    </row>
    <row r="309" spans="1:12" x14ac:dyDescent="0.25">
      <c r="A309" s="15" cm="1">
        <f t="array" ref="A309">ROW()-ROW(Table946[#Headers])</f>
        <v>304</v>
      </c>
      <c r="B309" s="16" t="s">
        <v>570</v>
      </c>
      <c r="C309" s="16" t="s">
        <v>571</v>
      </c>
      <c r="D309" s="16" t="s">
        <v>572</v>
      </c>
      <c r="E309" s="16" t="s">
        <v>15</v>
      </c>
      <c r="F309" s="16" t="s">
        <v>19</v>
      </c>
      <c r="G309" s="6">
        <v>25000</v>
      </c>
      <c r="H309" s="15"/>
      <c r="L309" s="6">
        <f>Table946[[#This Row],[Harga Satuan]]*Table946[[#This Row],[Stock Akhir]]</f>
        <v>0</v>
      </c>
    </row>
    <row r="310" spans="1:12" x14ac:dyDescent="0.25">
      <c r="A310" s="15" cm="1">
        <f t="array" ref="A310">ROW()-ROW(Table946[#Headers])</f>
        <v>305</v>
      </c>
      <c r="B310" s="16" t="s">
        <v>570</v>
      </c>
      <c r="C310" s="16" t="s">
        <v>573</v>
      </c>
      <c r="D310" s="16" t="s">
        <v>574</v>
      </c>
      <c r="E310" s="16" t="s">
        <v>15</v>
      </c>
      <c r="F310" s="16" t="s">
        <v>19</v>
      </c>
      <c r="G310" s="6">
        <v>540541</v>
      </c>
      <c r="H310" s="15"/>
      <c r="L310" s="6">
        <f>Table946[[#This Row],[Harga Satuan]]*Table946[[#This Row],[Stock Akhir]]</f>
        <v>0</v>
      </c>
    </row>
    <row r="311" spans="1:12" x14ac:dyDescent="0.25">
      <c r="A311" s="15" cm="1">
        <f t="array" ref="A311">ROW()-ROW(Table946[#Headers])</f>
        <v>306</v>
      </c>
      <c r="B311" s="16" t="s">
        <v>570</v>
      </c>
      <c r="C311" s="16" t="s">
        <v>575</v>
      </c>
      <c r="D311" s="16" t="s">
        <v>576</v>
      </c>
      <c r="E311" s="16" t="s">
        <v>15</v>
      </c>
      <c r="F311" s="16" t="s">
        <v>19</v>
      </c>
      <c r="G311" s="6">
        <v>1500000</v>
      </c>
      <c r="H311" s="15"/>
      <c r="L311" s="6">
        <f>Table946[[#This Row],[Harga Satuan]]*Table946[[#This Row],[Stock Akhir]]</f>
        <v>0</v>
      </c>
    </row>
    <row r="312" spans="1:12" x14ac:dyDescent="0.25">
      <c r="A312" s="15" cm="1">
        <f t="array" ref="A312">ROW()-ROW(Table946[#Headers])</f>
        <v>307</v>
      </c>
      <c r="B312" s="16" t="s">
        <v>570</v>
      </c>
      <c r="C312" s="16" t="s">
        <v>577</v>
      </c>
      <c r="D312" s="16" t="s">
        <v>578</v>
      </c>
      <c r="E312" s="16" t="s">
        <v>15</v>
      </c>
      <c r="F312" s="16" t="s">
        <v>19</v>
      </c>
      <c r="G312" s="6">
        <v>120000</v>
      </c>
      <c r="H312" s="15"/>
      <c r="L312" s="6">
        <f>Table946[[#This Row],[Harga Satuan]]*Table946[[#This Row],[Stock Akhir]]</f>
        <v>0</v>
      </c>
    </row>
    <row r="313" spans="1:12" x14ac:dyDescent="0.25">
      <c r="A313" s="15" cm="1">
        <f t="array" ref="A313">ROW()-ROW(Table946[#Headers])</f>
        <v>308</v>
      </c>
      <c r="B313" s="16" t="s">
        <v>570</v>
      </c>
      <c r="C313" s="16" t="s">
        <v>579</v>
      </c>
      <c r="D313" s="16" t="s">
        <v>580</v>
      </c>
      <c r="E313" s="16" t="s">
        <v>15</v>
      </c>
      <c r="F313" s="16" t="s">
        <v>19</v>
      </c>
      <c r="G313" s="6">
        <v>200000</v>
      </c>
      <c r="H313" s="15"/>
      <c r="L313" s="6">
        <f>Table946[[#This Row],[Harga Satuan]]*Table946[[#This Row],[Stock Akhir]]</f>
        <v>0</v>
      </c>
    </row>
    <row r="314" spans="1:12" x14ac:dyDescent="0.25">
      <c r="A314" s="15" cm="1">
        <f t="array" ref="A314">ROW()-ROW(Table946[#Headers])</f>
        <v>309</v>
      </c>
      <c r="B314" s="16" t="s">
        <v>570</v>
      </c>
      <c r="C314" s="16" t="s">
        <v>581</v>
      </c>
      <c r="D314" s="16" t="s">
        <v>582</v>
      </c>
      <c r="E314" s="16" t="s">
        <v>15</v>
      </c>
      <c r="F314" s="16" t="s">
        <v>26</v>
      </c>
      <c r="G314" s="6">
        <v>2088300</v>
      </c>
      <c r="H314" s="15"/>
      <c r="L314" s="6">
        <f>Table946[[#This Row],[Harga Satuan]]*Table946[[#This Row],[Stock Akhir]]</f>
        <v>0</v>
      </c>
    </row>
    <row r="315" spans="1:12" hidden="1" x14ac:dyDescent="0.25">
      <c r="A315" s="5" cm="1">
        <f t="array" ref="A315">ROW()-ROW(Table946[#Headers])</f>
        <v>310</v>
      </c>
      <c r="D315" s="4" t="s">
        <v>582</v>
      </c>
      <c r="E315" s="4" t="s">
        <v>15</v>
      </c>
      <c r="F315" s="4" t="s">
        <v>26</v>
      </c>
      <c r="G315" s="6">
        <v>2088300</v>
      </c>
      <c r="L315" s="6">
        <f>Table946[[#This Row],[Harga Satuan]]*Table946[[#This Row],[Stock Akhir]]</f>
        <v>0</v>
      </c>
    </row>
    <row r="316" spans="1:12" hidden="1" x14ac:dyDescent="0.25">
      <c r="A316" s="5" cm="1">
        <f t="array" ref="A316">ROW()-ROW(Table946[#Headers])</f>
        <v>311</v>
      </c>
      <c r="D316" s="4" t="s">
        <v>583</v>
      </c>
      <c r="E316" s="4" t="s">
        <v>15</v>
      </c>
      <c r="F316" s="4" t="s">
        <v>26</v>
      </c>
      <c r="G316" s="6">
        <v>110000</v>
      </c>
      <c r="L316" s="6">
        <f>Table946[[#This Row],[Harga Satuan]]*Table946[[#This Row],[Stock Akhir]]</f>
        <v>0</v>
      </c>
    </row>
    <row r="317" spans="1:12" hidden="1" x14ac:dyDescent="0.25">
      <c r="A317" s="5" cm="1">
        <f t="array" ref="A317">ROW()-ROW(Table946[#Headers])</f>
        <v>312</v>
      </c>
      <c r="D317" s="4" t="s">
        <v>584</v>
      </c>
      <c r="E317" s="4" t="s">
        <v>15</v>
      </c>
      <c r="F317" s="4" t="s">
        <v>26</v>
      </c>
      <c r="G317" s="6">
        <v>2052400</v>
      </c>
      <c r="L317" s="6">
        <f>Table946[[#This Row],[Harga Satuan]]*Table946[[#This Row],[Stock Akhir]]</f>
        <v>0</v>
      </c>
    </row>
    <row r="318" spans="1:12" hidden="1" x14ac:dyDescent="0.25">
      <c r="A318" s="5" cm="1">
        <f t="array" ref="A318">ROW()-ROW(Table946[#Headers])</f>
        <v>313</v>
      </c>
      <c r="D318" s="4" t="s">
        <v>585</v>
      </c>
      <c r="E318" s="4" t="s">
        <v>15</v>
      </c>
      <c r="F318" s="4" t="s">
        <v>26</v>
      </c>
      <c r="G318" s="6">
        <v>1000000</v>
      </c>
      <c r="L318" s="6">
        <f>Table946[[#This Row],[Harga Satuan]]*Table946[[#This Row],[Stock Akhir]]</f>
        <v>0</v>
      </c>
    </row>
    <row r="319" spans="1:12" hidden="1" x14ac:dyDescent="0.25">
      <c r="A319" s="5" cm="1">
        <f t="array" ref="A319">ROW()-ROW(Table946[#Headers])</f>
        <v>314</v>
      </c>
      <c r="D319" s="4" t="s">
        <v>586</v>
      </c>
      <c r="E319" s="4" t="s">
        <v>15</v>
      </c>
      <c r="F319" s="4" t="s">
        <v>26</v>
      </c>
      <c r="G319" s="6">
        <v>1200000</v>
      </c>
      <c r="L319" s="6">
        <f>Table946[[#This Row],[Harga Satuan]]*Table946[[#This Row],[Stock Akhir]]</f>
        <v>0</v>
      </c>
    </row>
    <row r="320" spans="1:12" hidden="1" x14ac:dyDescent="0.25">
      <c r="A320" s="5" cm="1">
        <f t="array" ref="A320">ROW()-ROW(Table946[#Headers])</f>
        <v>315</v>
      </c>
      <c r="D320" s="4" t="s">
        <v>587</v>
      </c>
      <c r="E320" s="4" t="s">
        <v>15</v>
      </c>
      <c r="F320" s="4" t="s">
        <v>26</v>
      </c>
      <c r="G320" s="6">
        <v>1500000</v>
      </c>
      <c r="L320" s="6">
        <f>Table946[[#This Row],[Harga Satuan]]*Table946[[#This Row],[Stock Akhir]]</f>
        <v>0</v>
      </c>
    </row>
    <row r="321" spans="1:12" hidden="1" x14ac:dyDescent="0.25">
      <c r="A321" s="5" cm="1">
        <f t="array" ref="A321">ROW()-ROW(Table946[#Headers])</f>
        <v>316</v>
      </c>
      <c r="D321" s="4" t="s">
        <v>588</v>
      </c>
      <c r="E321" s="4" t="s">
        <v>15</v>
      </c>
      <c r="F321" s="4" t="s">
        <v>26</v>
      </c>
      <c r="G321" s="6">
        <v>8950000</v>
      </c>
      <c r="L321" s="6">
        <f>Table946[[#This Row],[Harga Satuan]]*Table946[[#This Row],[Stock Akhir]]</f>
        <v>0</v>
      </c>
    </row>
    <row r="322" spans="1:12" hidden="1" x14ac:dyDescent="0.25">
      <c r="A322" s="5" cm="1">
        <f t="array" ref="A322">ROW()-ROW(Table946[#Headers])</f>
        <v>317</v>
      </c>
      <c r="D322" s="4" t="s">
        <v>589</v>
      </c>
      <c r="E322" s="4" t="s">
        <v>15</v>
      </c>
      <c r="F322" s="4" t="s">
        <v>26</v>
      </c>
      <c r="G322" s="6">
        <v>6850000</v>
      </c>
      <c r="L322" s="6">
        <f>Table946[[#This Row],[Harga Satuan]]*Table946[[#This Row],[Stock Akhir]]</f>
        <v>0</v>
      </c>
    </row>
    <row r="323" spans="1:12" x14ac:dyDescent="0.25">
      <c r="A323" s="15" cm="1">
        <f t="array" ref="A323">ROW()-ROW(Table946[#Headers])</f>
        <v>318</v>
      </c>
      <c r="B323" s="16" t="s">
        <v>570</v>
      </c>
      <c r="C323" s="16" t="s">
        <v>590</v>
      </c>
      <c r="D323" s="16" t="s">
        <v>591</v>
      </c>
      <c r="E323" s="16" t="s">
        <v>15</v>
      </c>
      <c r="F323" s="16" t="s">
        <v>19</v>
      </c>
      <c r="G323" s="6">
        <v>80000</v>
      </c>
      <c r="H323" s="15"/>
      <c r="L323" s="6">
        <f>Table946[[#This Row],[Harga Satuan]]*Table946[[#This Row],[Stock Akhir]]</f>
        <v>0</v>
      </c>
    </row>
    <row r="324" spans="1:12" x14ac:dyDescent="0.25">
      <c r="A324" s="15" cm="1">
        <f t="array" ref="A324">ROW()-ROW(Table946[#Headers])</f>
        <v>319</v>
      </c>
      <c r="B324" s="16" t="s">
        <v>570</v>
      </c>
      <c r="C324" s="16" t="s">
        <v>592</v>
      </c>
      <c r="D324" s="16" t="s">
        <v>593</v>
      </c>
      <c r="E324" s="16" t="s">
        <v>15</v>
      </c>
      <c r="F324" s="16" t="s">
        <v>19</v>
      </c>
      <c r="G324" s="6">
        <v>45000</v>
      </c>
      <c r="H324" s="15"/>
      <c r="L324" s="6">
        <f>Table946[[#This Row],[Harga Satuan]]*Table946[[#This Row],[Stock Akhir]]</f>
        <v>0</v>
      </c>
    </row>
    <row r="325" spans="1:12" x14ac:dyDescent="0.25">
      <c r="A325" s="15" cm="1">
        <f t="array" ref="A325">ROW()-ROW(Table946[#Headers])</f>
        <v>320</v>
      </c>
      <c r="B325" s="16" t="s">
        <v>570</v>
      </c>
      <c r="C325" s="16" t="s">
        <v>594</v>
      </c>
      <c r="D325" s="16" t="s">
        <v>595</v>
      </c>
      <c r="E325" s="16" t="s">
        <v>15</v>
      </c>
      <c r="F325" s="16" t="s">
        <v>26</v>
      </c>
      <c r="G325" s="6">
        <v>1200000</v>
      </c>
      <c r="H325" s="15"/>
      <c r="L325" s="6">
        <f>Table946[[#This Row],[Harga Satuan]]*Table946[[#This Row],[Stock Akhir]]</f>
        <v>0</v>
      </c>
    </row>
    <row r="326" spans="1:12" x14ac:dyDescent="0.25">
      <c r="A326" s="15" cm="1">
        <f t="array" ref="A326">ROW()-ROW(Table946[#Headers])</f>
        <v>321</v>
      </c>
      <c r="B326" s="16" t="s">
        <v>570</v>
      </c>
      <c r="C326" s="16" t="s">
        <v>596</v>
      </c>
      <c r="D326" s="16" t="s">
        <v>597</v>
      </c>
      <c r="E326" s="16" t="s">
        <v>15</v>
      </c>
      <c r="F326" s="16" t="s">
        <v>19</v>
      </c>
      <c r="G326" s="6">
        <v>500000</v>
      </c>
      <c r="H326" s="15"/>
      <c r="L326" s="6">
        <f>Table946[[#This Row],[Harga Satuan]]*Table946[[#This Row],[Stock Akhir]]</f>
        <v>0</v>
      </c>
    </row>
    <row r="327" spans="1:12" x14ac:dyDescent="0.25">
      <c r="A327" s="15" cm="1">
        <f t="array" ref="A327">ROW()-ROW(Table946[#Headers])</f>
        <v>322</v>
      </c>
      <c r="B327" s="16" t="s">
        <v>570</v>
      </c>
      <c r="C327" s="16" t="s">
        <v>598</v>
      </c>
      <c r="D327" s="16" t="s">
        <v>599</v>
      </c>
      <c r="E327" s="16" t="s">
        <v>15</v>
      </c>
      <c r="F327" s="16" t="s">
        <v>19</v>
      </c>
      <c r="G327" s="6">
        <v>265000</v>
      </c>
      <c r="H327" s="15"/>
      <c r="L327" s="6">
        <f>Table946[[#This Row],[Harga Satuan]]*Table946[[#This Row],[Stock Akhir]]</f>
        <v>0</v>
      </c>
    </row>
    <row r="328" spans="1:12" x14ac:dyDescent="0.25">
      <c r="A328" s="15" cm="1">
        <f t="array" ref="A328">ROW()-ROW(Table946[#Headers])</f>
        <v>323</v>
      </c>
      <c r="B328" s="16" t="s">
        <v>570</v>
      </c>
      <c r="C328" s="16" t="s">
        <v>600</v>
      </c>
      <c r="D328" s="16" t="s">
        <v>601</v>
      </c>
      <c r="E328" s="16" t="s">
        <v>15</v>
      </c>
      <c r="F328" s="16" t="s">
        <v>19</v>
      </c>
      <c r="G328" s="6">
        <v>300000</v>
      </c>
      <c r="H328" s="15"/>
      <c r="L328" s="6">
        <f>Table946[[#This Row],[Harga Satuan]]*Table946[[#This Row],[Stock Akhir]]</f>
        <v>0</v>
      </c>
    </row>
    <row r="329" spans="1:12" x14ac:dyDescent="0.25">
      <c r="A329" s="15" cm="1">
        <f t="array" ref="A329">ROW()-ROW(Table946[#Headers])</f>
        <v>324</v>
      </c>
      <c r="B329" s="16" t="s">
        <v>570</v>
      </c>
      <c r="C329" s="16" t="s">
        <v>602</v>
      </c>
      <c r="D329" s="16" t="s">
        <v>603</v>
      </c>
      <c r="E329" s="16" t="s">
        <v>15</v>
      </c>
      <c r="F329" s="16" t="s">
        <v>19</v>
      </c>
      <c r="G329" s="6">
        <v>500000</v>
      </c>
      <c r="H329" s="15"/>
      <c r="L329" s="6">
        <f>Table946[[#This Row],[Harga Satuan]]*Table946[[#This Row],[Stock Akhir]]</f>
        <v>0</v>
      </c>
    </row>
    <row r="330" spans="1:12" x14ac:dyDescent="0.25">
      <c r="A330" s="15" cm="1">
        <f t="array" ref="A330">ROW()-ROW(Table946[#Headers])</f>
        <v>325</v>
      </c>
      <c r="B330" s="16" t="s">
        <v>570</v>
      </c>
      <c r="C330" s="16" t="s">
        <v>604</v>
      </c>
      <c r="D330" s="16" t="s">
        <v>605</v>
      </c>
      <c r="E330" s="16" t="s">
        <v>15</v>
      </c>
      <c r="F330" s="16" t="s">
        <v>19</v>
      </c>
      <c r="G330" s="6">
        <v>185000</v>
      </c>
      <c r="H330" s="15"/>
      <c r="L330" s="6">
        <f>Table946[[#This Row],[Harga Satuan]]*Table946[[#This Row],[Stock Akhir]]</f>
        <v>0</v>
      </c>
    </row>
    <row r="331" spans="1:12" x14ac:dyDescent="0.25">
      <c r="A331" s="15" cm="1">
        <f t="array" ref="A331">ROW()-ROW(Table946[#Headers])</f>
        <v>326</v>
      </c>
      <c r="B331" s="16" t="s">
        <v>570</v>
      </c>
      <c r="C331" s="16" t="s">
        <v>606</v>
      </c>
      <c r="D331" s="16" t="s">
        <v>607</v>
      </c>
      <c r="E331" s="16" t="s">
        <v>15</v>
      </c>
      <c r="F331" s="16" t="s">
        <v>19</v>
      </c>
      <c r="G331" s="6">
        <v>270512</v>
      </c>
      <c r="H331" s="15"/>
      <c r="L331" s="6">
        <f>Table946[[#This Row],[Harga Satuan]]*Table946[[#This Row],[Stock Akhir]]</f>
        <v>0</v>
      </c>
    </row>
    <row r="332" spans="1:12" x14ac:dyDescent="0.25">
      <c r="A332" s="15" cm="1">
        <f t="array" ref="A332">ROW()-ROW(Table946[#Headers])</f>
        <v>327</v>
      </c>
      <c r="B332" s="16" t="s">
        <v>570</v>
      </c>
      <c r="C332" s="16" t="s">
        <v>608</v>
      </c>
      <c r="D332" s="16" t="s">
        <v>609</v>
      </c>
      <c r="E332" s="16" t="s">
        <v>15</v>
      </c>
      <c r="F332" s="16" t="s">
        <v>19</v>
      </c>
      <c r="G332" s="6">
        <v>857400</v>
      </c>
      <c r="H332" s="15"/>
      <c r="L332" s="6">
        <f>Table946[[#This Row],[Harga Satuan]]*Table946[[#This Row],[Stock Akhir]]</f>
        <v>0</v>
      </c>
    </row>
    <row r="333" spans="1:12" x14ac:dyDescent="0.25">
      <c r="A333" s="15" cm="1">
        <f t="array" ref="A333">ROW()-ROW(Table946[#Headers])</f>
        <v>328</v>
      </c>
      <c r="B333" s="16" t="s">
        <v>570</v>
      </c>
      <c r="C333" s="18" t="s">
        <v>610</v>
      </c>
      <c r="D333" s="19" t="s">
        <v>611</v>
      </c>
      <c r="E333" s="16" t="s">
        <v>15</v>
      </c>
      <c r="F333" s="16" t="s">
        <v>19</v>
      </c>
      <c r="G333" s="6">
        <v>0</v>
      </c>
      <c r="H333" s="15"/>
      <c r="L333" s="6">
        <f>Table946[[#This Row],[Harga Satuan]]*Table946[[#This Row],[Stock Akhir]]</f>
        <v>0</v>
      </c>
    </row>
    <row r="334" spans="1:12" x14ac:dyDescent="0.25">
      <c r="A334" s="15" cm="1">
        <f t="array" ref="A334">ROW()-ROW(Table946[#Headers])</f>
        <v>329</v>
      </c>
      <c r="B334" s="16" t="s">
        <v>570</v>
      </c>
      <c r="C334" s="18" t="s">
        <v>612</v>
      </c>
      <c r="D334" s="19" t="s">
        <v>613</v>
      </c>
      <c r="E334" s="16" t="s">
        <v>15</v>
      </c>
      <c r="F334" s="16" t="s">
        <v>19</v>
      </c>
      <c r="G334" s="6">
        <v>0</v>
      </c>
      <c r="H334" s="15"/>
      <c r="L334" s="6">
        <f>Table946[[#This Row],[Harga Satuan]]*Table946[[#This Row],[Stock Akhir]]</f>
        <v>0</v>
      </c>
    </row>
    <row r="335" spans="1:12" x14ac:dyDescent="0.25">
      <c r="A335" s="15" cm="1">
        <f t="array" ref="A335">ROW()-ROW(Table946[#Headers])</f>
        <v>330</v>
      </c>
      <c r="B335" s="16" t="s">
        <v>570</v>
      </c>
      <c r="C335" s="18" t="s">
        <v>614</v>
      </c>
      <c r="D335" s="19" t="s">
        <v>615</v>
      </c>
      <c r="E335" s="16" t="s">
        <v>15</v>
      </c>
      <c r="F335" s="16" t="s">
        <v>19</v>
      </c>
      <c r="G335" s="6">
        <v>0</v>
      </c>
      <c r="H335" s="15"/>
      <c r="L335" s="6">
        <f>Table946[[#This Row],[Harga Satuan]]*Table946[[#This Row],[Stock Akhir]]</f>
        <v>0</v>
      </c>
    </row>
    <row r="336" spans="1:12" x14ac:dyDescent="0.25">
      <c r="A336" s="15" cm="1">
        <f t="array" ref="A336">ROW()-ROW(Table946[#Headers])</f>
        <v>331</v>
      </c>
      <c r="B336" s="16" t="s">
        <v>570</v>
      </c>
      <c r="C336" s="18" t="s">
        <v>616</v>
      </c>
      <c r="D336" s="19" t="s">
        <v>617</v>
      </c>
      <c r="E336" s="16" t="s">
        <v>15</v>
      </c>
      <c r="F336" s="16" t="s">
        <v>19</v>
      </c>
      <c r="G336" s="6">
        <v>0</v>
      </c>
      <c r="H336" s="15"/>
      <c r="L336" s="6">
        <f>Table946[[#This Row],[Harga Satuan]]*Table946[[#This Row],[Stock Akhir]]</f>
        <v>0</v>
      </c>
    </row>
    <row r="337" spans="1:12" x14ac:dyDescent="0.25">
      <c r="A337" s="15" cm="1">
        <f t="array" ref="A337">ROW()-ROW(Table946[#Headers])</f>
        <v>332</v>
      </c>
      <c r="B337" s="16" t="s">
        <v>570</v>
      </c>
      <c r="C337" s="18" t="s">
        <v>618</v>
      </c>
      <c r="D337" s="19" t="s">
        <v>619</v>
      </c>
      <c r="E337" s="16" t="s">
        <v>15</v>
      </c>
      <c r="F337" s="16" t="s">
        <v>19</v>
      </c>
      <c r="G337" s="6">
        <v>0</v>
      </c>
      <c r="H337" s="15"/>
      <c r="L337" s="6">
        <f>Table946[[#This Row],[Harga Satuan]]*Table946[[#This Row],[Stock Akhir]]</f>
        <v>0</v>
      </c>
    </row>
    <row r="338" spans="1:12" x14ac:dyDescent="0.25">
      <c r="A338" s="15" cm="1">
        <f t="array" ref="A338">ROW()-ROW(Table946[#Headers])</f>
        <v>333</v>
      </c>
      <c r="B338" s="16" t="s">
        <v>570</v>
      </c>
      <c r="C338" s="18" t="s">
        <v>620</v>
      </c>
      <c r="D338" s="19" t="s">
        <v>621</v>
      </c>
      <c r="E338" s="16" t="s">
        <v>15</v>
      </c>
      <c r="F338" s="16" t="s">
        <v>19</v>
      </c>
      <c r="G338" s="6">
        <v>0</v>
      </c>
      <c r="H338" s="15"/>
      <c r="L338" s="6">
        <f>Table946[[#This Row],[Harga Satuan]]*Table946[[#This Row],[Stock Akhir]]</f>
        <v>0</v>
      </c>
    </row>
    <row r="339" spans="1:12" x14ac:dyDescent="0.25">
      <c r="A339" s="15" cm="1">
        <f t="array" ref="A339">ROW()-ROW(Table946[#Headers])</f>
        <v>334</v>
      </c>
      <c r="B339" s="16" t="s">
        <v>570</v>
      </c>
      <c r="C339" s="18" t="s">
        <v>622</v>
      </c>
      <c r="D339" s="19" t="s">
        <v>623</v>
      </c>
      <c r="E339" s="16" t="s">
        <v>15</v>
      </c>
      <c r="F339" s="16" t="s">
        <v>19</v>
      </c>
      <c r="G339" s="6">
        <v>0</v>
      </c>
      <c r="H339" s="15"/>
      <c r="L339" s="6">
        <f>Table946[[#This Row],[Harga Satuan]]*Table946[[#This Row],[Stock Akhir]]</f>
        <v>0</v>
      </c>
    </row>
    <row r="340" spans="1:12" x14ac:dyDescent="0.25">
      <c r="A340" s="15" cm="1">
        <f t="array" ref="A340">ROW()-ROW(Table946[#Headers])</f>
        <v>335</v>
      </c>
      <c r="B340" s="16" t="s">
        <v>570</v>
      </c>
      <c r="C340" s="18" t="s">
        <v>624</v>
      </c>
      <c r="D340" s="19" t="s">
        <v>625</v>
      </c>
      <c r="E340" s="16" t="s">
        <v>15</v>
      </c>
      <c r="F340" s="16" t="s">
        <v>19</v>
      </c>
      <c r="G340" s="6">
        <v>0</v>
      </c>
      <c r="H340" s="15"/>
      <c r="L340" s="6">
        <f>Table946[[#This Row],[Harga Satuan]]*Table946[[#This Row],[Stock Akhir]]</f>
        <v>0</v>
      </c>
    </row>
    <row r="341" spans="1:12" x14ac:dyDescent="0.25">
      <c r="A341" s="15" cm="1">
        <f t="array" ref="A341">ROW()-ROW(Table946[#Headers])</f>
        <v>336</v>
      </c>
      <c r="B341" s="16" t="s">
        <v>570</v>
      </c>
      <c r="C341" s="18" t="s">
        <v>626</v>
      </c>
      <c r="D341" s="19" t="s">
        <v>627</v>
      </c>
      <c r="E341" s="16" t="s">
        <v>15</v>
      </c>
      <c r="F341" s="16" t="s">
        <v>19</v>
      </c>
      <c r="G341" s="6">
        <v>0</v>
      </c>
      <c r="H341" s="15"/>
      <c r="L341" s="6">
        <f>Table946[[#This Row],[Harga Satuan]]*Table946[[#This Row],[Stock Akhir]]</f>
        <v>0</v>
      </c>
    </row>
    <row r="342" spans="1:12" x14ac:dyDescent="0.25">
      <c r="A342" s="15" cm="1">
        <f t="array" ref="A342">ROW()-ROW(Table946[#Headers])</f>
        <v>337</v>
      </c>
      <c r="B342" s="16" t="s">
        <v>570</v>
      </c>
      <c r="C342" s="18" t="s">
        <v>628</v>
      </c>
      <c r="D342" s="19" t="s">
        <v>629</v>
      </c>
      <c r="E342" s="16" t="s">
        <v>15</v>
      </c>
      <c r="F342" s="16" t="s">
        <v>19</v>
      </c>
      <c r="G342" s="6">
        <v>0</v>
      </c>
      <c r="H342" s="15"/>
      <c r="L342" s="6">
        <f>Table946[[#This Row],[Harga Satuan]]*Table946[[#This Row],[Stock Akhir]]</f>
        <v>0</v>
      </c>
    </row>
    <row r="343" spans="1:12" x14ac:dyDescent="0.25">
      <c r="A343" s="15" cm="1">
        <f t="array" ref="A343">ROW()-ROW(Table946[#Headers])</f>
        <v>338</v>
      </c>
      <c r="B343" s="16" t="s">
        <v>570</v>
      </c>
      <c r="C343" s="18" t="s">
        <v>630</v>
      </c>
      <c r="D343" s="19" t="s">
        <v>631</v>
      </c>
      <c r="E343" s="16" t="s">
        <v>15</v>
      </c>
      <c r="F343" s="16" t="s">
        <v>19</v>
      </c>
      <c r="G343" s="6">
        <v>0</v>
      </c>
      <c r="H343" s="15"/>
      <c r="L343" s="6">
        <f>Table946[[#This Row],[Harga Satuan]]*Table946[[#This Row],[Stock Akhir]]</f>
        <v>0</v>
      </c>
    </row>
    <row r="344" spans="1:12" x14ac:dyDescent="0.25">
      <c r="A344" s="15" cm="1">
        <f t="array" ref="A344">ROW()-ROW(Table946[#Headers])</f>
        <v>339</v>
      </c>
      <c r="B344" s="16" t="s">
        <v>570</v>
      </c>
      <c r="C344" s="18" t="s">
        <v>632</v>
      </c>
      <c r="D344" s="19" t="s">
        <v>633</v>
      </c>
      <c r="E344" s="16" t="s">
        <v>15</v>
      </c>
      <c r="F344" s="16" t="s">
        <v>19</v>
      </c>
      <c r="G344" s="6">
        <v>0</v>
      </c>
      <c r="H344" s="15"/>
      <c r="L344" s="6">
        <f>Table946[[#This Row],[Harga Satuan]]*Table946[[#This Row],[Stock Akhir]]</f>
        <v>0</v>
      </c>
    </row>
    <row r="345" spans="1:12" x14ac:dyDescent="0.25">
      <c r="A345" s="15" cm="1">
        <f t="array" ref="A345">ROW()-ROW(Table946[#Headers])</f>
        <v>340</v>
      </c>
      <c r="B345" s="16" t="s">
        <v>570</v>
      </c>
      <c r="C345" s="16" t="s">
        <v>634</v>
      </c>
      <c r="D345" s="16" t="s">
        <v>635</v>
      </c>
      <c r="E345" s="16" t="s">
        <v>15</v>
      </c>
      <c r="F345" s="16" t="s">
        <v>19</v>
      </c>
      <c r="G345" s="6">
        <v>480000</v>
      </c>
      <c r="H345" s="15"/>
      <c r="L345" s="6">
        <f>Table946[[#This Row],[Harga Satuan]]*Table946[[#This Row],[Stock Akhir]]</f>
        <v>0</v>
      </c>
    </row>
    <row r="346" spans="1:12" x14ac:dyDescent="0.25">
      <c r="A346" s="15" cm="1">
        <f t="array" ref="A346">ROW()-ROW(Table946[#Headers])</f>
        <v>341</v>
      </c>
      <c r="B346" s="16" t="s">
        <v>570</v>
      </c>
      <c r="C346" s="18" t="s">
        <v>636</v>
      </c>
      <c r="D346" s="19" t="s">
        <v>637</v>
      </c>
      <c r="E346" s="16" t="s">
        <v>15</v>
      </c>
      <c r="F346" s="16" t="s">
        <v>19</v>
      </c>
      <c r="G346" s="6">
        <v>0</v>
      </c>
      <c r="H346" s="15"/>
      <c r="L346" s="6">
        <f>Table946[[#This Row],[Harga Satuan]]*Table946[[#This Row],[Stock Akhir]]</f>
        <v>0</v>
      </c>
    </row>
    <row r="347" spans="1:12" x14ac:dyDescent="0.25">
      <c r="A347" s="15" cm="1">
        <f t="array" ref="A347">ROW()-ROW(Table946[#Headers])</f>
        <v>342</v>
      </c>
      <c r="B347" s="16" t="s">
        <v>570</v>
      </c>
      <c r="C347" s="16" t="s">
        <v>638</v>
      </c>
      <c r="D347" s="16" t="s">
        <v>639</v>
      </c>
      <c r="E347" s="16" t="s">
        <v>15</v>
      </c>
      <c r="F347" s="16" t="s">
        <v>19</v>
      </c>
      <c r="G347" s="6">
        <v>810811</v>
      </c>
      <c r="H347" s="15"/>
      <c r="L347" s="6">
        <f>Table946[[#This Row],[Harga Satuan]]*Table946[[#This Row],[Stock Akhir]]</f>
        <v>0</v>
      </c>
    </row>
    <row r="348" spans="1:12" x14ac:dyDescent="0.25">
      <c r="A348" s="15" cm="1">
        <f t="array" ref="A348">ROW()-ROW(Table946[#Headers])</f>
        <v>343</v>
      </c>
      <c r="B348" s="16" t="s">
        <v>570</v>
      </c>
      <c r="C348" s="16" t="s">
        <v>640</v>
      </c>
      <c r="D348" s="16" t="s">
        <v>641</v>
      </c>
      <c r="E348" s="16" t="s">
        <v>15</v>
      </c>
      <c r="F348" s="16" t="s">
        <v>19</v>
      </c>
      <c r="G348" s="6">
        <v>810811</v>
      </c>
      <c r="H348" s="15"/>
      <c r="L348" s="6">
        <f>Table946[[#This Row],[Harga Satuan]]*Table946[[#This Row],[Stock Akhir]]</f>
        <v>0</v>
      </c>
    </row>
    <row r="349" spans="1:12" x14ac:dyDescent="0.25">
      <c r="A349" s="15" cm="1">
        <f t="array" ref="A349">ROW()-ROW(Table946[#Headers])</f>
        <v>344</v>
      </c>
      <c r="B349" s="16" t="s">
        <v>570</v>
      </c>
      <c r="C349" s="16" t="s">
        <v>642</v>
      </c>
      <c r="D349" s="16" t="s">
        <v>643</v>
      </c>
      <c r="E349" s="16" t="s">
        <v>15</v>
      </c>
      <c r="F349" s="16" t="s">
        <v>19</v>
      </c>
      <c r="G349" s="6">
        <v>675000</v>
      </c>
      <c r="H349" s="15"/>
      <c r="L349" s="6">
        <f>Table946[[#This Row],[Harga Satuan]]*Table946[[#This Row],[Stock Akhir]]</f>
        <v>0</v>
      </c>
    </row>
    <row r="350" spans="1:12" x14ac:dyDescent="0.25">
      <c r="A350" s="15" cm="1">
        <f t="array" ref="A350">ROW()-ROW(Table946[#Headers])</f>
        <v>345</v>
      </c>
      <c r="B350" s="16" t="s">
        <v>570</v>
      </c>
      <c r="C350" s="18" t="s">
        <v>644</v>
      </c>
      <c r="D350" s="19" t="s">
        <v>645</v>
      </c>
      <c r="E350" s="16" t="s">
        <v>15</v>
      </c>
      <c r="F350" s="16" t="s">
        <v>19</v>
      </c>
      <c r="G350" s="6">
        <v>0</v>
      </c>
      <c r="H350" s="15"/>
      <c r="L350" s="6">
        <f>Table946[[#This Row],[Harga Satuan]]*Table946[[#This Row],[Stock Akhir]]</f>
        <v>0</v>
      </c>
    </row>
    <row r="351" spans="1:12" x14ac:dyDescent="0.25">
      <c r="A351" s="15" cm="1">
        <f t="array" ref="A351">ROW()-ROW(Table946[#Headers])</f>
        <v>346</v>
      </c>
      <c r="B351" s="16" t="s">
        <v>570</v>
      </c>
      <c r="C351" s="18" t="s">
        <v>646</v>
      </c>
      <c r="D351" s="19" t="s">
        <v>647</v>
      </c>
      <c r="E351" s="16" t="s">
        <v>15</v>
      </c>
      <c r="F351" s="16" t="s">
        <v>19</v>
      </c>
      <c r="G351" s="6">
        <v>0</v>
      </c>
      <c r="H351" s="15"/>
      <c r="L351" s="6">
        <f>Table946[[#This Row],[Harga Satuan]]*Table946[[#This Row],[Stock Akhir]]</f>
        <v>0</v>
      </c>
    </row>
    <row r="352" spans="1:12" x14ac:dyDescent="0.25">
      <c r="A352" s="15" cm="1">
        <f t="array" ref="A352">ROW()-ROW(Table946[#Headers])</f>
        <v>347</v>
      </c>
      <c r="B352" s="16" t="s">
        <v>570</v>
      </c>
      <c r="C352" s="28" t="s">
        <v>648</v>
      </c>
      <c r="D352" s="16" t="s">
        <v>649</v>
      </c>
      <c r="E352" s="16" t="s">
        <v>15</v>
      </c>
      <c r="F352" s="16" t="s">
        <v>19</v>
      </c>
      <c r="G352" s="6">
        <v>0</v>
      </c>
      <c r="H352" s="15"/>
      <c r="L352" s="6">
        <f>Table946[[#This Row],[Harga Satuan]]*Table946[[#This Row],[Stock Akhir]]</f>
        <v>0</v>
      </c>
    </row>
    <row r="353" spans="1:12" x14ac:dyDescent="0.25">
      <c r="A353" s="15" cm="1">
        <f t="array" ref="A353">ROW()-ROW(Table946[#Headers])</f>
        <v>348</v>
      </c>
      <c r="B353" s="16" t="s">
        <v>570</v>
      </c>
      <c r="C353" s="28" t="s">
        <v>650</v>
      </c>
      <c r="D353" s="16" t="s">
        <v>651</v>
      </c>
      <c r="E353" s="16" t="s">
        <v>15</v>
      </c>
      <c r="F353" s="16" t="s">
        <v>19</v>
      </c>
      <c r="G353" s="6">
        <v>235000</v>
      </c>
      <c r="H353" s="15"/>
      <c r="L353" s="6">
        <f>Table946[[#This Row],[Harga Satuan]]*Table946[[#This Row],[Stock Akhir]]</f>
        <v>0</v>
      </c>
    </row>
    <row r="354" spans="1:12" x14ac:dyDescent="0.25">
      <c r="A354" s="15" cm="1">
        <f t="array" ref="A354">ROW()-ROW(Table946[#Headers])</f>
        <v>349</v>
      </c>
      <c r="B354" s="16" t="s">
        <v>570</v>
      </c>
      <c r="C354" s="28" t="s">
        <v>652</v>
      </c>
      <c r="D354" s="16" t="s">
        <v>653</v>
      </c>
      <c r="E354" s="16" t="s">
        <v>15</v>
      </c>
      <c r="F354" s="16" t="s">
        <v>19</v>
      </c>
      <c r="G354" s="6">
        <v>275000</v>
      </c>
      <c r="H354" s="15"/>
      <c r="L354" s="6">
        <f>Table946[[#This Row],[Harga Satuan]]*Table946[[#This Row],[Stock Akhir]]</f>
        <v>0</v>
      </c>
    </row>
    <row r="355" spans="1:12" x14ac:dyDescent="0.25">
      <c r="A355" s="15" cm="1">
        <f t="array" ref="A355">ROW()-ROW(Table946[#Headers])</f>
        <v>350</v>
      </c>
      <c r="B355" s="16" t="s">
        <v>570</v>
      </c>
      <c r="C355" s="28" t="s">
        <v>654</v>
      </c>
      <c r="D355" s="16" t="s">
        <v>655</v>
      </c>
      <c r="E355" s="16" t="s">
        <v>15</v>
      </c>
      <c r="F355" s="16" t="s">
        <v>19</v>
      </c>
      <c r="G355" s="6">
        <v>405000</v>
      </c>
      <c r="H355" s="15"/>
      <c r="L355" s="6">
        <f>Table946[[#This Row],[Harga Satuan]]*Table946[[#This Row],[Stock Akhir]]</f>
        <v>0</v>
      </c>
    </row>
    <row r="356" spans="1:12" x14ac:dyDescent="0.25">
      <c r="A356" s="15" cm="1">
        <f t="array" ref="A356">ROW()-ROW(Table946[#Headers])</f>
        <v>351</v>
      </c>
      <c r="B356" s="16" t="s">
        <v>570</v>
      </c>
      <c r="C356" s="28" t="s">
        <v>656</v>
      </c>
      <c r="D356" s="16" t="s">
        <v>657</v>
      </c>
      <c r="E356" s="16" t="s">
        <v>15</v>
      </c>
      <c r="F356" s="16" t="s">
        <v>19</v>
      </c>
      <c r="G356" s="6">
        <v>155000</v>
      </c>
      <c r="H356" s="15"/>
      <c r="L356" s="6">
        <f>Table946[[#This Row],[Harga Satuan]]*Table946[[#This Row],[Stock Akhir]]</f>
        <v>0</v>
      </c>
    </row>
    <row r="357" spans="1:12" x14ac:dyDescent="0.25">
      <c r="A357" s="15" cm="1">
        <f t="array" ref="A357">ROW()-ROW(Table946[#Headers])</f>
        <v>352</v>
      </c>
      <c r="B357" s="16" t="s">
        <v>570</v>
      </c>
      <c r="C357" s="16" t="s">
        <v>658</v>
      </c>
      <c r="D357" s="16" t="s">
        <v>659</v>
      </c>
      <c r="E357" s="16" t="s">
        <v>15</v>
      </c>
      <c r="F357" s="16" t="s">
        <v>19</v>
      </c>
      <c r="G357" s="6">
        <v>0</v>
      </c>
      <c r="H357" s="15"/>
      <c r="L357" s="6">
        <f>Table946[[#This Row],[Harga Satuan]]*Table946[[#This Row],[Stock Akhir]]</f>
        <v>0</v>
      </c>
    </row>
    <row r="358" spans="1:12" x14ac:dyDescent="0.25">
      <c r="A358" s="15" cm="1">
        <f t="array" ref="A358">ROW()-ROW(Table946[#Headers])</f>
        <v>353</v>
      </c>
      <c r="B358" s="16" t="s">
        <v>570</v>
      </c>
      <c r="C358" s="16" t="s">
        <v>660</v>
      </c>
      <c r="D358" s="16" t="s">
        <v>661</v>
      </c>
      <c r="E358" s="16" t="s">
        <v>15</v>
      </c>
      <c r="F358" s="16" t="s">
        <v>19</v>
      </c>
      <c r="G358" s="6">
        <v>467182</v>
      </c>
      <c r="H358" s="15"/>
      <c r="L358" s="6">
        <f>Table946[[#This Row],[Harga Satuan]]*Table946[[#This Row],[Stock Akhir]]</f>
        <v>0</v>
      </c>
    </row>
    <row r="359" spans="1:12" x14ac:dyDescent="0.25">
      <c r="A359" s="15" cm="1">
        <f t="array" ref="A359">ROW()-ROW(Table946[#Headers])</f>
        <v>354</v>
      </c>
      <c r="B359" s="16" t="s">
        <v>570</v>
      </c>
      <c r="C359" s="16" t="s">
        <v>662</v>
      </c>
      <c r="D359" s="16" t="s">
        <v>663</v>
      </c>
      <c r="E359" s="16" t="s">
        <v>15</v>
      </c>
      <c r="F359" s="16" t="s">
        <v>19</v>
      </c>
      <c r="G359" s="6">
        <v>443865</v>
      </c>
      <c r="H359" s="15"/>
      <c r="L359" s="6">
        <f>Table946[[#This Row],[Harga Satuan]]*Table946[[#This Row],[Stock Akhir]]</f>
        <v>0</v>
      </c>
    </row>
    <row r="360" spans="1:12" x14ac:dyDescent="0.25">
      <c r="A360" s="15" cm="1">
        <f t="array" ref="A360">ROW()-ROW(Table946[#Headers])</f>
        <v>355</v>
      </c>
      <c r="B360" s="16" t="s">
        <v>570</v>
      </c>
      <c r="C360" s="16" t="s">
        <v>664</v>
      </c>
      <c r="D360" s="16" t="s">
        <v>665</v>
      </c>
      <c r="E360" s="16" t="s">
        <v>15</v>
      </c>
      <c r="F360" s="16" t="s">
        <v>19</v>
      </c>
      <c r="G360" s="6">
        <v>0</v>
      </c>
      <c r="H360" s="15"/>
      <c r="L360" s="6">
        <f>Table946[[#This Row],[Harga Satuan]]*Table946[[#This Row],[Stock Akhir]]</f>
        <v>0</v>
      </c>
    </row>
    <row r="361" spans="1:12" x14ac:dyDescent="0.25">
      <c r="A361" s="15" cm="1">
        <f t="array" ref="A361">ROW()-ROW(Table946[#Headers])</f>
        <v>356</v>
      </c>
      <c r="B361" s="16" t="s">
        <v>570</v>
      </c>
      <c r="C361" s="16" t="s">
        <v>666</v>
      </c>
      <c r="D361" s="16" t="s">
        <v>667</v>
      </c>
      <c r="E361" s="16" t="s">
        <v>15</v>
      </c>
      <c r="F361" s="16" t="s">
        <v>19</v>
      </c>
      <c r="G361" s="6">
        <v>0</v>
      </c>
      <c r="H361" s="15"/>
      <c r="L361" s="6">
        <f>Table946[[#This Row],[Harga Satuan]]*Table946[[#This Row],[Stock Akhir]]</f>
        <v>0</v>
      </c>
    </row>
    <row r="362" spans="1:12" x14ac:dyDescent="0.25">
      <c r="A362" s="15" cm="1">
        <f t="array" ref="A362">ROW()-ROW(Table946[#Headers])</f>
        <v>357</v>
      </c>
      <c r="B362" s="16" t="s">
        <v>570</v>
      </c>
      <c r="C362" s="16" t="s">
        <v>668</v>
      </c>
      <c r="D362" s="16" t="s">
        <v>669</v>
      </c>
      <c r="E362" s="16" t="s">
        <v>15</v>
      </c>
      <c r="F362" s="16" t="s">
        <v>19</v>
      </c>
      <c r="G362" s="6">
        <v>0</v>
      </c>
      <c r="H362" s="15"/>
      <c r="L362" s="6">
        <f>Table946[[#This Row],[Harga Satuan]]*Table946[[#This Row],[Stock Akhir]]</f>
        <v>0</v>
      </c>
    </row>
    <row r="363" spans="1:12" x14ac:dyDescent="0.25">
      <c r="A363" s="15" cm="1">
        <f t="array" ref="A363">ROW()-ROW(Table946[#Headers])</f>
        <v>358</v>
      </c>
      <c r="B363" s="16" t="s">
        <v>570</v>
      </c>
      <c r="C363" s="16" t="s">
        <v>670</v>
      </c>
      <c r="D363" s="16" t="s">
        <v>671</v>
      </c>
      <c r="E363" s="16" t="s">
        <v>15</v>
      </c>
      <c r="F363" s="16" t="s">
        <v>19</v>
      </c>
      <c r="G363" s="6">
        <v>758185</v>
      </c>
      <c r="H363" s="15"/>
      <c r="L363" s="6">
        <f>Table946[[#This Row],[Harga Satuan]]*Table946[[#This Row],[Stock Akhir]]</f>
        <v>0</v>
      </c>
    </row>
    <row r="364" spans="1:12" x14ac:dyDescent="0.25">
      <c r="A364" s="15" cm="1">
        <f t="array" ref="A364">ROW()-ROW(Table946[#Headers])</f>
        <v>359</v>
      </c>
      <c r="B364" s="16" t="s">
        <v>570</v>
      </c>
      <c r="C364" s="16" t="s">
        <v>672</v>
      </c>
      <c r="D364" s="16" t="s">
        <v>673</v>
      </c>
      <c r="E364" s="16" t="s">
        <v>15</v>
      </c>
      <c r="F364" s="16" t="s">
        <v>19</v>
      </c>
      <c r="G364" s="6">
        <v>774585</v>
      </c>
      <c r="H364" s="15"/>
      <c r="L364" s="6">
        <f>Table946[[#This Row],[Harga Satuan]]*Table946[[#This Row],[Stock Akhir]]</f>
        <v>0</v>
      </c>
    </row>
    <row r="365" spans="1:12" x14ac:dyDescent="0.25">
      <c r="A365" s="15" cm="1">
        <f t="array" ref="A365">ROW()-ROW(Table946[#Headers])</f>
        <v>360</v>
      </c>
      <c r="B365" s="16" t="s">
        <v>570</v>
      </c>
      <c r="C365" s="16" t="s">
        <v>674</v>
      </c>
      <c r="D365" s="16" t="s">
        <v>675</v>
      </c>
      <c r="E365" s="16" t="s">
        <v>15</v>
      </c>
      <c r="F365" s="16" t="s">
        <v>19</v>
      </c>
      <c r="G365" s="6">
        <v>758185</v>
      </c>
      <c r="H365" s="15"/>
      <c r="L365" s="6">
        <f>Table946[[#This Row],[Harga Satuan]]*Table946[[#This Row],[Stock Akhir]]</f>
        <v>0</v>
      </c>
    </row>
    <row r="366" spans="1:12" x14ac:dyDescent="0.25">
      <c r="A366" s="15" cm="1">
        <f t="array" ref="A366">ROW()-ROW(Table946[#Headers])</f>
        <v>361</v>
      </c>
      <c r="B366" s="16" t="s">
        <v>570</v>
      </c>
      <c r="C366" s="16" t="s">
        <v>676</v>
      </c>
      <c r="D366" s="16" t="s">
        <v>677</v>
      </c>
      <c r="E366" s="16" t="s">
        <v>15</v>
      </c>
      <c r="F366" s="16" t="s">
        <v>19</v>
      </c>
      <c r="G366" s="6">
        <v>771585</v>
      </c>
      <c r="H366" s="15"/>
      <c r="L366" s="6">
        <f>Table946[[#This Row],[Harga Satuan]]*Table946[[#This Row],[Stock Akhir]]</f>
        <v>0</v>
      </c>
    </row>
    <row r="367" spans="1:12" hidden="1" x14ac:dyDescent="0.25">
      <c r="A367" s="5" cm="1">
        <f t="array" ref="A367">ROW()-ROW(Table946[#Headers])</f>
        <v>362</v>
      </c>
      <c r="B367" s="4" t="s">
        <v>570</v>
      </c>
      <c r="D367" s="4" t="s">
        <v>678</v>
      </c>
      <c r="E367" s="4" t="s">
        <v>15</v>
      </c>
      <c r="F367" s="4" t="s">
        <v>19</v>
      </c>
      <c r="G367" s="6">
        <v>774585</v>
      </c>
      <c r="L367" s="6">
        <f>Table946[[#This Row],[Harga Satuan]]*Table946[[#This Row],[Stock Akhir]]</f>
        <v>0</v>
      </c>
    </row>
    <row r="368" spans="1:12" hidden="1" x14ac:dyDescent="0.25">
      <c r="A368" s="5" cm="1">
        <f t="array" ref="A368">ROW()-ROW(Table946[#Headers])</f>
        <v>363</v>
      </c>
      <c r="B368" s="4" t="s">
        <v>570</v>
      </c>
      <c r="D368" s="4" t="s">
        <v>679</v>
      </c>
      <c r="E368" s="4" t="s">
        <v>15</v>
      </c>
      <c r="F368" s="4" t="s">
        <v>19</v>
      </c>
      <c r="G368" s="6">
        <v>771585</v>
      </c>
      <c r="L368" s="6">
        <f>Table946[[#This Row],[Harga Satuan]]*Table946[[#This Row],[Stock Akhir]]</f>
        <v>0</v>
      </c>
    </row>
    <row r="369" spans="1:12" hidden="1" x14ac:dyDescent="0.25">
      <c r="A369" s="5" cm="1">
        <f t="array" ref="A369">ROW()-ROW(Table946[#Headers])</f>
        <v>364</v>
      </c>
      <c r="B369" s="4" t="s">
        <v>570</v>
      </c>
      <c r="D369" s="4" t="s">
        <v>680</v>
      </c>
      <c r="E369" s="4" t="s">
        <v>15</v>
      </c>
      <c r="F369" s="4" t="s">
        <v>19</v>
      </c>
      <c r="G369" s="6">
        <v>1563550</v>
      </c>
      <c r="L369" s="6">
        <f>Table946[[#This Row],[Harga Satuan]]*Table946[[#This Row],[Stock Akhir]]</f>
        <v>0</v>
      </c>
    </row>
    <row r="370" spans="1:12" hidden="1" x14ac:dyDescent="0.25">
      <c r="A370" s="5" cm="1">
        <f t="array" ref="A370">ROW()-ROW(Table946[#Headers])</f>
        <v>365</v>
      </c>
      <c r="B370" s="4" t="s">
        <v>570</v>
      </c>
      <c r="D370" s="4" t="s">
        <v>681</v>
      </c>
      <c r="E370" s="4" t="s">
        <v>15</v>
      </c>
      <c r="F370" s="4" t="s">
        <v>19</v>
      </c>
      <c r="G370" s="6">
        <v>1505450</v>
      </c>
      <c r="L370" s="6">
        <f>Table946[[#This Row],[Harga Satuan]]*Table946[[#This Row],[Stock Akhir]]</f>
        <v>0</v>
      </c>
    </row>
    <row r="371" spans="1:12" x14ac:dyDescent="0.25">
      <c r="A371" s="15" cm="1">
        <f t="array" ref="A371">ROW()-ROW(Table946[#Headers])</f>
        <v>366</v>
      </c>
      <c r="B371" s="16" t="s">
        <v>570</v>
      </c>
      <c r="C371" s="16" t="s">
        <v>682</v>
      </c>
      <c r="D371" s="16" t="s">
        <v>683</v>
      </c>
      <c r="E371" s="16" t="s">
        <v>15</v>
      </c>
      <c r="F371" s="16" t="s">
        <v>19</v>
      </c>
      <c r="G371" s="6">
        <v>145369</v>
      </c>
      <c r="H371" s="15"/>
      <c r="L371" s="6">
        <f>Table946[[#This Row],[Harga Satuan]]*Table946[[#This Row],[Stock Akhir]]</f>
        <v>0</v>
      </c>
    </row>
    <row r="372" spans="1:12" hidden="1" x14ac:dyDescent="0.25">
      <c r="A372" s="5" cm="1">
        <f t="array" ref="A372">ROW()-ROW(Table946[#Headers])</f>
        <v>367</v>
      </c>
      <c r="B372" s="4" t="s">
        <v>570</v>
      </c>
      <c r="D372" s="4" t="s">
        <v>684</v>
      </c>
      <c r="E372" s="4" t="s">
        <v>15</v>
      </c>
      <c r="F372" s="4" t="s">
        <v>19</v>
      </c>
      <c r="G372" s="6">
        <v>145369</v>
      </c>
      <c r="L372" s="6">
        <f>Table946[[#This Row],[Harga Satuan]]*Table946[[#This Row],[Stock Akhir]]</f>
        <v>0</v>
      </c>
    </row>
    <row r="373" spans="1:12" x14ac:dyDescent="0.25">
      <c r="A373" s="15" cm="1">
        <f t="array" ref="A373">ROW()-ROW(Table946[#Headers])</f>
        <v>368</v>
      </c>
      <c r="B373" s="16" t="s">
        <v>570</v>
      </c>
      <c r="C373" s="16" t="s">
        <v>685</v>
      </c>
      <c r="D373" s="16" t="s">
        <v>686</v>
      </c>
      <c r="E373" s="16" t="s">
        <v>15</v>
      </c>
      <c r="F373" s="16" t="s">
        <v>19</v>
      </c>
      <c r="G373" s="6">
        <v>138219</v>
      </c>
      <c r="H373" s="15"/>
      <c r="L373" s="6">
        <f>Table946[[#This Row],[Harga Satuan]]*Table946[[#This Row],[Stock Akhir]]</f>
        <v>0</v>
      </c>
    </row>
    <row r="374" spans="1:12" x14ac:dyDescent="0.25">
      <c r="A374" s="15" cm="1">
        <f t="array" ref="A374">ROW()-ROW(Table946[#Headers])</f>
        <v>369</v>
      </c>
      <c r="B374" s="16" t="s">
        <v>570</v>
      </c>
      <c r="C374" s="16" t="s">
        <v>687</v>
      </c>
      <c r="D374" s="16" t="s">
        <v>688</v>
      </c>
      <c r="E374" s="16" t="s">
        <v>15</v>
      </c>
      <c r="F374" s="16" t="s">
        <v>19</v>
      </c>
      <c r="G374" s="6">
        <v>285200</v>
      </c>
      <c r="H374" s="15"/>
      <c r="L374" s="6">
        <f>Table946[[#This Row],[Harga Satuan]]*Table946[[#This Row],[Stock Akhir]]</f>
        <v>0</v>
      </c>
    </row>
    <row r="375" spans="1:12" x14ac:dyDescent="0.25">
      <c r="A375" s="15" cm="1">
        <f t="array" ref="A375">ROW()-ROW(Table946[#Headers])</f>
        <v>370</v>
      </c>
      <c r="B375" s="16" t="s">
        <v>570</v>
      </c>
      <c r="C375" s="16" t="s">
        <v>689</v>
      </c>
      <c r="D375" s="16" t="s">
        <v>690</v>
      </c>
      <c r="E375" s="16" t="s">
        <v>15</v>
      </c>
      <c r="F375" s="16" t="s">
        <v>19</v>
      </c>
      <c r="G375" s="6">
        <v>205059</v>
      </c>
      <c r="H375" s="15"/>
      <c r="L375" s="6">
        <f>Table946[[#This Row],[Harga Satuan]]*Table946[[#This Row],[Stock Akhir]]</f>
        <v>0</v>
      </c>
    </row>
    <row r="376" spans="1:12" x14ac:dyDescent="0.25">
      <c r="A376" s="15" cm="1">
        <f t="array" ref="A376">ROW()-ROW(Table946[#Headers])</f>
        <v>371</v>
      </c>
      <c r="B376" s="16" t="s">
        <v>570</v>
      </c>
      <c r="C376" s="16" t="s">
        <v>691</v>
      </c>
      <c r="D376" s="16" t="s">
        <v>692</v>
      </c>
      <c r="E376" s="16" t="s">
        <v>15</v>
      </c>
      <c r="F376" s="16" t="s">
        <v>19</v>
      </c>
      <c r="G376" s="6">
        <v>214690</v>
      </c>
      <c r="H376" s="15"/>
      <c r="L376" s="6">
        <f>Table946[[#This Row],[Harga Satuan]]*Table946[[#This Row],[Stock Akhir]]</f>
        <v>0</v>
      </c>
    </row>
    <row r="377" spans="1:12" x14ac:dyDescent="0.25">
      <c r="A377" s="15" cm="1">
        <f t="array" ref="A377">ROW()-ROW(Table946[#Headers])</f>
        <v>372</v>
      </c>
      <c r="B377" s="16" t="s">
        <v>570</v>
      </c>
      <c r="C377" s="16" t="s">
        <v>693</v>
      </c>
      <c r="D377" s="16" t="s">
        <v>694</v>
      </c>
      <c r="E377" s="16" t="s">
        <v>15</v>
      </c>
      <c r="F377" s="16" t="s">
        <v>19</v>
      </c>
      <c r="G377" s="6">
        <v>0</v>
      </c>
      <c r="H377" s="15"/>
      <c r="L377" s="6">
        <f>Table946[[#This Row],[Harga Satuan]]*Table946[[#This Row],[Stock Akhir]]</f>
        <v>0</v>
      </c>
    </row>
    <row r="378" spans="1:12" x14ac:dyDescent="0.25">
      <c r="A378" s="15" cm="1">
        <f t="array" ref="A378">ROW()-ROW(Table946[#Headers])</f>
        <v>373</v>
      </c>
      <c r="B378" s="16" t="s">
        <v>570</v>
      </c>
      <c r="C378" s="16" t="s">
        <v>695</v>
      </c>
      <c r="D378" s="16" t="s">
        <v>696</v>
      </c>
      <c r="E378" s="16" t="s">
        <v>15</v>
      </c>
      <c r="F378" s="16" t="s">
        <v>19</v>
      </c>
      <c r="G378" s="6">
        <v>166556</v>
      </c>
      <c r="H378" s="15"/>
      <c r="L378" s="6">
        <f>Table946[[#This Row],[Harga Satuan]]*Table946[[#This Row],[Stock Akhir]]</f>
        <v>0</v>
      </c>
    </row>
    <row r="379" spans="1:12" x14ac:dyDescent="0.25">
      <c r="A379" s="15" cm="1">
        <f t="array" ref="A379">ROW()-ROW(Table946[#Headers])</f>
        <v>374</v>
      </c>
      <c r="B379" s="16" t="s">
        <v>570</v>
      </c>
      <c r="C379" s="16" t="s">
        <v>697</v>
      </c>
      <c r="D379" s="16" t="s">
        <v>698</v>
      </c>
      <c r="E379" s="16" t="s">
        <v>15</v>
      </c>
      <c r="F379" s="16" t="s">
        <v>19</v>
      </c>
      <c r="G379" s="6">
        <v>0</v>
      </c>
      <c r="H379" s="15"/>
      <c r="L379" s="6">
        <f>Table946[[#This Row],[Harga Satuan]]*Table946[[#This Row],[Stock Akhir]]</f>
        <v>0</v>
      </c>
    </row>
    <row r="380" spans="1:12" x14ac:dyDescent="0.25">
      <c r="A380" s="15" cm="1">
        <f t="array" ref="A380">ROW()-ROW(Table946[#Headers])</f>
        <v>375</v>
      </c>
      <c r="B380" s="16" t="s">
        <v>570</v>
      </c>
      <c r="C380" s="16" t="s">
        <v>699</v>
      </c>
      <c r="D380" s="16" t="s">
        <v>700</v>
      </c>
      <c r="E380" s="16" t="s">
        <v>15</v>
      </c>
      <c r="F380" s="16" t="s">
        <v>19</v>
      </c>
      <c r="G380" s="6">
        <v>0</v>
      </c>
      <c r="H380" s="15"/>
      <c r="L380" s="6">
        <f>Table946[[#This Row],[Harga Satuan]]*Table946[[#This Row],[Stock Akhir]]</f>
        <v>0</v>
      </c>
    </row>
    <row r="381" spans="1:12" x14ac:dyDescent="0.25">
      <c r="A381" s="15" cm="1">
        <f t="array" ref="A381">ROW()-ROW(Table946[#Headers])</f>
        <v>376</v>
      </c>
      <c r="B381" s="16" t="s">
        <v>570</v>
      </c>
      <c r="C381" s="16" t="s">
        <v>701</v>
      </c>
      <c r="D381" s="16" t="s">
        <v>702</v>
      </c>
      <c r="E381" s="16" t="s">
        <v>15</v>
      </c>
      <c r="F381" s="16" t="s">
        <v>19</v>
      </c>
      <c r="G381" s="6">
        <v>213019</v>
      </c>
      <c r="H381" s="15"/>
      <c r="L381" s="6">
        <f>Table946[[#This Row],[Harga Satuan]]*Table946[[#This Row],[Stock Akhir]]</f>
        <v>0</v>
      </c>
    </row>
    <row r="382" spans="1:12" x14ac:dyDescent="0.25">
      <c r="A382" s="15" cm="1">
        <f t="array" ref="A382">ROW()-ROW(Table946[#Headers])</f>
        <v>377</v>
      </c>
      <c r="B382" s="16" t="s">
        <v>570</v>
      </c>
      <c r="C382" s="16" t="s">
        <v>703</v>
      </c>
      <c r="D382" s="16" t="s">
        <v>704</v>
      </c>
      <c r="E382" s="16" t="s">
        <v>15</v>
      </c>
      <c r="F382" s="16" t="s">
        <v>19</v>
      </c>
      <c r="G382" s="6">
        <v>286199</v>
      </c>
      <c r="H382" s="15"/>
      <c r="L382" s="6">
        <f>Table946[[#This Row],[Harga Satuan]]*Table946[[#This Row],[Stock Akhir]]</f>
        <v>0</v>
      </c>
    </row>
    <row r="383" spans="1:12" x14ac:dyDescent="0.25">
      <c r="A383" s="15" cm="1">
        <f t="array" ref="A383">ROW()-ROW(Table946[#Headers])</f>
        <v>378</v>
      </c>
      <c r="B383" s="16" t="s">
        <v>570</v>
      </c>
      <c r="C383" s="16" t="s">
        <v>705</v>
      </c>
      <c r="D383" s="16" t="s">
        <v>706</v>
      </c>
      <c r="E383" s="16" t="s">
        <v>15</v>
      </c>
      <c r="F383" s="16" t="s">
        <v>19</v>
      </c>
      <c r="G383" s="6">
        <v>213019</v>
      </c>
      <c r="H383" s="15"/>
      <c r="L383" s="6">
        <f>Table946[[#This Row],[Harga Satuan]]*Table946[[#This Row],[Stock Akhir]]</f>
        <v>0</v>
      </c>
    </row>
    <row r="384" spans="1:12" x14ac:dyDescent="0.25">
      <c r="A384" s="15" cm="1">
        <f t="array" ref="A384">ROW()-ROW(Table946[#Headers])</f>
        <v>379</v>
      </c>
      <c r="B384" s="16" t="s">
        <v>570</v>
      </c>
      <c r="C384" s="16" t="s">
        <v>707</v>
      </c>
      <c r="D384" s="16" t="s">
        <v>708</v>
      </c>
      <c r="E384" s="16" t="s">
        <v>15</v>
      </c>
      <c r="F384" s="16" t="s">
        <v>19</v>
      </c>
      <c r="G384" s="6">
        <v>225619</v>
      </c>
      <c r="H384" s="15"/>
      <c r="L384" s="6">
        <f>Table946[[#This Row],[Harga Satuan]]*Table946[[#This Row],[Stock Akhir]]</f>
        <v>0</v>
      </c>
    </row>
    <row r="385" spans="1:12" x14ac:dyDescent="0.25">
      <c r="A385" s="15" cm="1">
        <f t="array" ref="A385">ROW()-ROW(Table946[#Headers])</f>
        <v>380</v>
      </c>
      <c r="B385" s="16" t="s">
        <v>570</v>
      </c>
      <c r="C385" s="16" t="s">
        <v>709</v>
      </c>
      <c r="D385" s="16" t="s">
        <v>710</v>
      </c>
      <c r="E385" s="16" t="s">
        <v>15</v>
      </c>
      <c r="F385" s="16" t="s">
        <v>19</v>
      </c>
      <c r="G385" s="6">
        <v>205059</v>
      </c>
      <c r="H385" s="15"/>
      <c r="L385" s="6">
        <f>Table946[[#This Row],[Harga Satuan]]*Table946[[#This Row],[Stock Akhir]]</f>
        <v>0</v>
      </c>
    </row>
    <row r="386" spans="1:12" x14ac:dyDescent="0.25">
      <c r="A386" s="15" cm="1">
        <f t="array" ref="A386">ROW()-ROW(Table946[#Headers])</f>
        <v>381</v>
      </c>
      <c r="B386" s="16" t="s">
        <v>570</v>
      </c>
      <c r="C386" s="16" t="s">
        <v>711</v>
      </c>
      <c r="D386" s="16" t="s">
        <v>712</v>
      </c>
      <c r="E386" s="16" t="s">
        <v>15</v>
      </c>
      <c r="F386" s="16" t="s">
        <v>19</v>
      </c>
      <c r="G386" s="6">
        <v>0</v>
      </c>
      <c r="H386" s="15"/>
      <c r="L386" s="6">
        <f>Table946[[#This Row],[Harga Satuan]]*Table946[[#This Row],[Stock Akhir]]</f>
        <v>0</v>
      </c>
    </row>
    <row r="387" spans="1:12" x14ac:dyDescent="0.25">
      <c r="A387" s="15" cm="1">
        <f t="array" ref="A387">ROW()-ROW(Table946[#Headers])</f>
        <v>382</v>
      </c>
      <c r="B387" s="16" t="s">
        <v>570</v>
      </c>
      <c r="C387" s="16" t="s">
        <v>713</v>
      </c>
      <c r="D387" s="16" t="s">
        <v>714</v>
      </c>
      <c r="E387" s="16" t="s">
        <v>15</v>
      </c>
      <c r="F387" s="16" t="s">
        <v>19</v>
      </c>
      <c r="G387" s="6">
        <v>0</v>
      </c>
      <c r="H387" s="15"/>
      <c r="L387" s="6">
        <f>Table946[[#This Row],[Harga Satuan]]*Table946[[#This Row],[Stock Akhir]]</f>
        <v>0</v>
      </c>
    </row>
    <row r="388" spans="1:12" x14ac:dyDescent="0.25">
      <c r="A388" s="15" cm="1">
        <f t="array" ref="A388">ROW()-ROW(Table946[#Headers])</f>
        <v>383</v>
      </c>
      <c r="B388" s="16" t="s">
        <v>570</v>
      </c>
      <c r="C388" s="16" t="s">
        <v>715</v>
      </c>
      <c r="D388" s="16" t="s">
        <v>716</v>
      </c>
      <c r="E388" s="16" t="s">
        <v>15</v>
      </c>
      <c r="F388" s="16" t="s">
        <v>19</v>
      </c>
      <c r="G388" s="6">
        <v>0</v>
      </c>
      <c r="H388" s="15"/>
      <c r="L388" s="6">
        <f>Table946[[#This Row],[Harga Satuan]]*Table946[[#This Row],[Stock Akhir]]</f>
        <v>0</v>
      </c>
    </row>
    <row r="389" spans="1:12" x14ac:dyDescent="0.25">
      <c r="A389" s="15" cm="1">
        <f t="array" ref="A389">ROW()-ROW(Table946[#Headers])</f>
        <v>384</v>
      </c>
      <c r="B389" s="16" t="s">
        <v>570</v>
      </c>
      <c r="C389" s="16" t="s">
        <v>717</v>
      </c>
      <c r="D389" s="16" t="s">
        <v>718</v>
      </c>
      <c r="E389" s="16" t="s">
        <v>15</v>
      </c>
      <c r="F389" s="16" t="s">
        <v>19</v>
      </c>
      <c r="G389" s="6">
        <v>287250</v>
      </c>
      <c r="H389" s="15"/>
      <c r="L389" s="6">
        <f>Table946[[#This Row],[Harga Satuan]]*Table946[[#This Row],[Stock Akhir]]</f>
        <v>0</v>
      </c>
    </row>
    <row r="390" spans="1:12" x14ac:dyDescent="0.25">
      <c r="A390" s="15" cm="1">
        <f t="array" ref="A390">ROW()-ROW(Table946[#Headers])</f>
        <v>385</v>
      </c>
      <c r="B390" s="16" t="s">
        <v>570</v>
      </c>
      <c r="C390" s="16" t="s">
        <v>719</v>
      </c>
      <c r="D390" s="16" t="s">
        <v>720</v>
      </c>
      <c r="E390" s="16" t="s">
        <v>15</v>
      </c>
      <c r="F390" s="16" t="s">
        <v>19</v>
      </c>
      <c r="G390" s="6">
        <v>168750</v>
      </c>
      <c r="H390" s="15"/>
      <c r="L390" s="6">
        <f>Table946[[#This Row],[Harga Satuan]]*Table946[[#This Row],[Stock Akhir]]</f>
        <v>0</v>
      </c>
    </row>
    <row r="391" spans="1:12" x14ac:dyDescent="0.25">
      <c r="A391" s="15" cm="1">
        <f t="array" ref="A391">ROW()-ROW(Table946[#Headers])</f>
        <v>386</v>
      </c>
      <c r="B391" s="16" t="s">
        <v>570</v>
      </c>
      <c r="C391" s="16" t="s">
        <v>721</v>
      </c>
      <c r="D391" s="16" t="s">
        <v>722</v>
      </c>
      <c r="E391" s="16" t="s">
        <v>15</v>
      </c>
      <c r="F391" s="16" t="s">
        <v>19</v>
      </c>
      <c r="G391" s="6">
        <v>0</v>
      </c>
      <c r="H391" s="15"/>
      <c r="L391" s="6">
        <f>Table946[[#This Row],[Harga Satuan]]*Table946[[#This Row],[Stock Akhir]]</f>
        <v>0</v>
      </c>
    </row>
    <row r="392" spans="1:12" x14ac:dyDescent="0.25">
      <c r="A392" s="15" cm="1">
        <f t="array" ref="A392">ROW()-ROW(Table946[#Headers])</f>
        <v>387</v>
      </c>
      <c r="B392" s="16" t="s">
        <v>570</v>
      </c>
      <c r="C392" s="16" t="s">
        <v>723</v>
      </c>
      <c r="D392" s="16" t="s">
        <v>724</v>
      </c>
      <c r="E392" s="16" t="s">
        <v>15</v>
      </c>
      <c r="F392" s="16" t="s">
        <v>19</v>
      </c>
      <c r="G392" s="6">
        <v>286199</v>
      </c>
      <c r="H392" s="15"/>
      <c r="L392" s="6">
        <f>Table946[[#This Row],[Harga Satuan]]*Table946[[#This Row],[Stock Akhir]]</f>
        <v>0</v>
      </c>
    </row>
    <row r="393" spans="1:12" x14ac:dyDescent="0.25">
      <c r="A393" s="15" cm="1">
        <f t="array" ref="A393">ROW()-ROW(Table946[#Headers])</f>
        <v>388</v>
      </c>
      <c r="B393" s="16" t="s">
        <v>570</v>
      </c>
      <c r="C393" s="16" t="s">
        <v>725</v>
      </c>
      <c r="D393" s="16" t="s">
        <v>726</v>
      </c>
      <c r="E393" s="16" t="s">
        <v>15</v>
      </c>
      <c r="F393" s="16" t="s">
        <v>19</v>
      </c>
      <c r="G393" s="6">
        <v>148290</v>
      </c>
      <c r="H393" s="15"/>
      <c r="L393" s="6">
        <f>Table946[[#This Row],[Harga Satuan]]*Table946[[#This Row],[Stock Akhir]]</f>
        <v>0</v>
      </c>
    </row>
    <row r="394" spans="1:12" x14ac:dyDescent="0.25">
      <c r="A394" s="15" cm="1">
        <f t="array" ref="A394">ROW()-ROW(Table946[#Headers])</f>
        <v>389</v>
      </c>
      <c r="B394" s="16" t="s">
        <v>570</v>
      </c>
      <c r="C394" s="16" t="s">
        <v>727</v>
      </c>
      <c r="D394" s="16" t="s">
        <v>728</v>
      </c>
      <c r="E394" s="16" t="s">
        <v>15</v>
      </c>
      <c r="F394" s="16" t="s">
        <v>19</v>
      </c>
      <c r="G394" s="6">
        <v>0</v>
      </c>
      <c r="H394" s="15"/>
      <c r="L394" s="6">
        <f>Table946[[#This Row],[Harga Satuan]]*Table946[[#This Row],[Stock Akhir]]</f>
        <v>0</v>
      </c>
    </row>
    <row r="395" spans="1:12" x14ac:dyDescent="0.25">
      <c r="A395" s="15" cm="1">
        <f t="array" ref="A395">ROW()-ROW(Table946[#Headers])</f>
        <v>390</v>
      </c>
      <c r="B395" s="16" t="s">
        <v>570</v>
      </c>
      <c r="C395" s="16" t="s">
        <v>729</v>
      </c>
      <c r="D395" s="16" t="s">
        <v>730</v>
      </c>
      <c r="E395" s="16" t="s">
        <v>15</v>
      </c>
      <c r="F395" s="16" t="s">
        <v>19</v>
      </c>
      <c r="G395" s="6">
        <v>0</v>
      </c>
      <c r="H395" s="15"/>
      <c r="L395" s="6">
        <f>Table946[[#This Row],[Harga Satuan]]*Table946[[#This Row],[Stock Akhir]]</f>
        <v>0</v>
      </c>
    </row>
    <row r="396" spans="1:12" x14ac:dyDescent="0.25">
      <c r="A396" s="15" cm="1">
        <f t="array" ref="A396">ROW()-ROW(Table946[#Headers])</f>
        <v>391</v>
      </c>
      <c r="B396" s="16" t="s">
        <v>570</v>
      </c>
      <c r="C396" s="16" t="s">
        <v>731</v>
      </c>
      <c r="D396" s="16" t="s">
        <v>732</v>
      </c>
      <c r="E396" s="16" t="s">
        <v>15</v>
      </c>
      <c r="F396" s="16" t="s">
        <v>19</v>
      </c>
      <c r="G396" s="6">
        <v>0</v>
      </c>
      <c r="H396" s="15"/>
      <c r="L396" s="6">
        <f>Table946[[#This Row],[Harga Satuan]]*Table946[[#This Row],[Stock Akhir]]</f>
        <v>0</v>
      </c>
    </row>
    <row r="397" spans="1:12" x14ac:dyDescent="0.25">
      <c r="A397" s="15" cm="1">
        <f t="array" ref="A397">ROW()-ROW(Table946[#Headers])</f>
        <v>392</v>
      </c>
      <c r="B397" s="16" t="s">
        <v>570</v>
      </c>
      <c r="C397" s="16" t="s">
        <v>733</v>
      </c>
      <c r="D397" s="16" t="s">
        <v>734</v>
      </c>
      <c r="E397" s="16" t="s">
        <v>15</v>
      </c>
      <c r="F397" s="16" t="s">
        <v>19</v>
      </c>
      <c r="G397" s="6">
        <v>57050</v>
      </c>
      <c r="H397" s="15"/>
      <c r="L397" s="6">
        <f>Table946[[#This Row],[Harga Satuan]]*Table946[[#This Row],[Stock Akhir]]</f>
        <v>0</v>
      </c>
    </row>
    <row r="398" spans="1:12" x14ac:dyDescent="0.25">
      <c r="A398" s="15" cm="1">
        <f t="array" ref="A398">ROW()-ROW(Table946[#Headers])</f>
        <v>393</v>
      </c>
      <c r="B398" s="16" t="s">
        <v>570</v>
      </c>
      <c r="C398" s="16" t="s">
        <v>735</v>
      </c>
      <c r="D398" s="16" t="s">
        <v>736</v>
      </c>
      <c r="E398" s="16" t="s">
        <v>15</v>
      </c>
      <c r="F398" s="16" t="s">
        <v>19</v>
      </c>
      <c r="G398" s="6">
        <v>78000</v>
      </c>
      <c r="H398" s="15"/>
      <c r="L398" s="6">
        <f>Table946[[#This Row],[Harga Satuan]]*Table946[[#This Row],[Stock Akhir]]</f>
        <v>0</v>
      </c>
    </row>
    <row r="399" spans="1:12" x14ac:dyDescent="0.25">
      <c r="A399" s="15" cm="1">
        <f t="array" ref="A399">ROW()-ROW(Table946[#Headers])</f>
        <v>394</v>
      </c>
      <c r="B399" s="16" t="s">
        <v>570</v>
      </c>
      <c r="C399" s="16" t="s">
        <v>737</v>
      </c>
      <c r="D399" s="16" t="s">
        <v>738</v>
      </c>
      <c r="E399" s="16" t="s">
        <v>15</v>
      </c>
      <c r="F399" s="16" t="s">
        <v>19</v>
      </c>
      <c r="G399" s="6">
        <v>0</v>
      </c>
      <c r="H399" s="15"/>
      <c r="L399" s="6">
        <f>Table946[[#This Row],[Harga Satuan]]*Table946[[#This Row],[Stock Akhir]]</f>
        <v>0</v>
      </c>
    </row>
    <row r="400" spans="1:12" x14ac:dyDescent="0.25">
      <c r="A400" s="15" cm="1">
        <f t="array" ref="A400">ROW()-ROW(Table946[#Headers])</f>
        <v>395</v>
      </c>
      <c r="B400" s="16" t="s">
        <v>570</v>
      </c>
      <c r="C400" s="16" t="s">
        <v>739</v>
      </c>
      <c r="D400" s="16" t="s">
        <v>740</v>
      </c>
      <c r="E400" s="16" t="s">
        <v>15</v>
      </c>
      <c r="F400" s="16" t="s">
        <v>19</v>
      </c>
      <c r="G400" s="6">
        <v>216295</v>
      </c>
      <c r="H400" s="15"/>
      <c r="L400" s="6">
        <f>Table946[[#This Row],[Harga Satuan]]*Table946[[#This Row],[Stock Akhir]]</f>
        <v>0</v>
      </c>
    </row>
    <row r="401" spans="1:12" x14ac:dyDescent="0.25">
      <c r="A401" s="15" cm="1">
        <f t="array" ref="A401">ROW()-ROW(Table946[#Headers])</f>
        <v>396</v>
      </c>
      <c r="B401" s="16" t="s">
        <v>570</v>
      </c>
      <c r="C401" s="16" t="s">
        <v>741</v>
      </c>
      <c r="D401" s="16" t="s">
        <v>742</v>
      </c>
      <c r="E401" s="16" t="s">
        <v>15</v>
      </c>
      <c r="F401" s="16" t="s">
        <v>26</v>
      </c>
      <c r="G401" s="6">
        <v>108142</v>
      </c>
      <c r="H401" s="15"/>
      <c r="L401" s="6">
        <f>Table946[[#This Row],[Harga Satuan]]*Table946[[#This Row],[Stock Akhir]]</f>
        <v>0</v>
      </c>
    </row>
    <row r="402" spans="1:12" x14ac:dyDescent="0.25">
      <c r="A402" s="15" cm="1">
        <f t="array" ref="A402">ROW()-ROW(Table946[#Headers])</f>
        <v>397</v>
      </c>
      <c r="B402" s="16" t="s">
        <v>570</v>
      </c>
      <c r="C402" s="16" t="s">
        <v>743</v>
      </c>
      <c r="D402" s="16" t="s">
        <v>744</v>
      </c>
      <c r="E402" s="16" t="s">
        <v>15</v>
      </c>
      <c r="F402" s="16" t="s">
        <v>19</v>
      </c>
      <c r="G402" s="6">
        <v>117050</v>
      </c>
      <c r="H402" s="15"/>
      <c r="L402" s="6">
        <f>Table946[[#This Row],[Harga Satuan]]*Table946[[#This Row],[Stock Akhir]]</f>
        <v>0</v>
      </c>
    </row>
    <row r="403" spans="1:12" x14ac:dyDescent="0.25">
      <c r="A403" s="15" cm="1">
        <f t="array" ref="A403">ROW()-ROW(Table946[#Headers])</f>
        <v>398</v>
      </c>
      <c r="B403" s="16" t="s">
        <v>570</v>
      </c>
      <c r="C403" s="16" t="s">
        <v>745</v>
      </c>
      <c r="D403" s="16" t="s">
        <v>746</v>
      </c>
      <c r="E403" s="16" t="s">
        <v>15</v>
      </c>
      <c r="F403" s="16" t="s">
        <v>19</v>
      </c>
      <c r="G403" s="6">
        <v>117050</v>
      </c>
      <c r="H403" s="15"/>
      <c r="L403" s="6">
        <f>Table946[[#This Row],[Harga Satuan]]*Table946[[#This Row],[Stock Akhir]]</f>
        <v>0</v>
      </c>
    </row>
    <row r="404" spans="1:12" x14ac:dyDescent="0.25">
      <c r="A404" s="15" cm="1">
        <f t="array" ref="A404">ROW()-ROW(Table946[#Headers])</f>
        <v>399</v>
      </c>
      <c r="B404" s="16" t="s">
        <v>570</v>
      </c>
      <c r="C404" s="16" t="s">
        <v>747</v>
      </c>
      <c r="D404" s="16" t="s">
        <v>748</v>
      </c>
      <c r="E404" s="16" t="s">
        <v>15</v>
      </c>
      <c r="F404" s="16" t="s">
        <v>19</v>
      </c>
      <c r="G404" s="6">
        <v>114050</v>
      </c>
      <c r="H404" s="15"/>
      <c r="L404" s="6">
        <f>Table946[[#This Row],[Harga Satuan]]*Table946[[#This Row],[Stock Akhir]]</f>
        <v>0</v>
      </c>
    </row>
    <row r="405" spans="1:12" x14ac:dyDescent="0.25">
      <c r="A405" s="15" cm="1">
        <f t="array" ref="A405">ROW()-ROW(Table946[#Headers])</f>
        <v>400</v>
      </c>
      <c r="B405" s="16" t="s">
        <v>570</v>
      </c>
      <c r="C405" s="16" t="s">
        <v>749</v>
      </c>
      <c r="D405" s="16" t="s">
        <v>750</v>
      </c>
      <c r="E405" s="16" t="s">
        <v>15</v>
      </c>
      <c r="F405" s="16" t="s">
        <v>19</v>
      </c>
      <c r="G405" s="6">
        <v>0</v>
      </c>
      <c r="H405" s="15"/>
      <c r="L405" s="6">
        <f>Table946[[#This Row],[Harga Satuan]]*Table946[[#This Row],[Stock Akhir]]</f>
        <v>0</v>
      </c>
    </row>
    <row r="406" spans="1:12" x14ac:dyDescent="0.25">
      <c r="A406" s="15" cm="1">
        <f t="array" ref="A406">ROW()-ROW(Table946[#Headers])</f>
        <v>401</v>
      </c>
      <c r="B406" s="16" t="s">
        <v>570</v>
      </c>
      <c r="C406" s="16" t="s">
        <v>751</v>
      </c>
      <c r="D406" s="16" t="s">
        <v>752</v>
      </c>
      <c r="E406" s="16" t="s">
        <v>15</v>
      </c>
      <c r="F406" s="16" t="s">
        <v>19</v>
      </c>
      <c r="G406" s="6">
        <v>0</v>
      </c>
      <c r="H406" s="15"/>
      <c r="L406" s="6">
        <f>Table946[[#This Row],[Harga Satuan]]*Table946[[#This Row],[Stock Akhir]]</f>
        <v>0</v>
      </c>
    </row>
    <row r="407" spans="1:12" x14ac:dyDescent="0.25">
      <c r="A407" s="15" cm="1">
        <f t="array" ref="A407">ROW()-ROW(Table946[#Headers])</f>
        <v>402</v>
      </c>
      <c r="B407" s="16" t="s">
        <v>570</v>
      </c>
      <c r="C407" s="16" t="s">
        <v>753</v>
      </c>
      <c r="D407" s="16" t="s">
        <v>754</v>
      </c>
      <c r="E407" s="16" t="s">
        <v>15</v>
      </c>
      <c r="F407" s="16" t="s">
        <v>19</v>
      </c>
      <c r="G407" s="6">
        <v>0</v>
      </c>
      <c r="H407" s="15"/>
      <c r="L407" s="6">
        <f>Table946[[#This Row],[Harga Satuan]]*Table946[[#This Row],[Stock Akhir]]</f>
        <v>0</v>
      </c>
    </row>
    <row r="408" spans="1:12" x14ac:dyDescent="0.25">
      <c r="A408" s="15" cm="1">
        <f t="array" ref="A408">ROW()-ROW(Table946[#Headers])</f>
        <v>403</v>
      </c>
      <c r="B408" s="16" t="s">
        <v>570</v>
      </c>
      <c r="C408" s="16" t="s">
        <v>755</v>
      </c>
      <c r="D408" s="16" t="s">
        <v>756</v>
      </c>
      <c r="E408" s="16" t="s">
        <v>15</v>
      </c>
      <c r="F408" s="16" t="s">
        <v>19</v>
      </c>
      <c r="G408" s="6">
        <v>291495</v>
      </c>
      <c r="H408" s="15"/>
      <c r="L408" s="6">
        <f>Table946[[#This Row],[Harga Satuan]]*Table946[[#This Row],[Stock Akhir]]</f>
        <v>0</v>
      </c>
    </row>
    <row r="409" spans="1:12" x14ac:dyDescent="0.25">
      <c r="A409" s="15" cm="1">
        <f t="array" ref="A409">ROW()-ROW(Table946[#Headers])</f>
        <v>404</v>
      </c>
      <c r="B409" s="16" t="s">
        <v>570</v>
      </c>
      <c r="C409" s="16" t="s">
        <v>757</v>
      </c>
      <c r="D409" s="16" t="s">
        <v>758</v>
      </c>
      <c r="E409" s="16" t="s">
        <v>15</v>
      </c>
      <c r="F409" s="16" t="s">
        <v>19</v>
      </c>
      <c r="G409" s="6">
        <v>497495</v>
      </c>
      <c r="H409" s="15"/>
      <c r="L409" s="6">
        <f>Table946[[#This Row],[Harga Satuan]]*Table946[[#This Row],[Stock Akhir]]</f>
        <v>0</v>
      </c>
    </row>
    <row r="410" spans="1:12" hidden="1" x14ac:dyDescent="0.25">
      <c r="A410" s="5" cm="1">
        <f t="array" ref="A410">ROW()-ROW(Table946[#Headers])</f>
        <v>405</v>
      </c>
      <c r="B410" s="4" t="s">
        <v>570</v>
      </c>
      <c r="D410" s="4" t="s">
        <v>759</v>
      </c>
      <c r="E410" s="4" t="s">
        <v>15</v>
      </c>
      <c r="F410" s="4" t="s">
        <v>19</v>
      </c>
      <c r="G410" s="6">
        <v>0</v>
      </c>
      <c r="L410" s="6">
        <f>Table946[[#This Row],[Harga Satuan]]*Table946[[#This Row],[Stock Akhir]]</f>
        <v>0</v>
      </c>
    </row>
    <row r="411" spans="1:12" hidden="1" x14ac:dyDescent="0.25">
      <c r="A411" s="5" cm="1">
        <f t="array" ref="A411">ROW()-ROW(Table946[#Headers])</f>
        <v>406</v>
      </c>
      <c r="B411" s="4" t="s">
        <v>570</v>
      </c>
      <c r="D411" s="4" t="s">
        <v>760</v>
      </c>
      <c r="E411" s="4" t="s">
        <v>15</v>
      </c>
      <c r="F411" s="4" t="s">
        <v>19</v>
      </c>
      <c r="G411" s="6">
        <v>0</v>
      </c>
      <c r="L411" s="6">
        <f>Table946[[#This Row],[Harga Satuan]]*Table946[[#This Row],[Stock Akhir]]</f>
        <v>0</v>
      </c>
    </row>
    <row r="412" spans="1:12" x14ac:dyDescent="0.25">
      <c r="A412" s="15" cm="1">
        <f t="array" ref="A412">ROW()-ROW(Table946[#Headers])</f>
        <v>407</v>
      </c>
      <c r="B412" s="16" t="s">
        <v>570</v>
      </c>
      <c r="C412" s="16" t="s">
        <v>761</v>
      </c>
      <c r="D412" s="16" t="s">
        <v>762</v>
      </c>
      <c r="E412" s="16" t="s">
        <v>15</v>
      </c>
      <c r="F412" s="16" t="s">
        <v>19</v>
      </c>
      <c r="G412" s="6">
        <v>0</v>
      </c>
      <c r="H412" s="15"/>
      <c r="L412" s="6">
        <f>Table946[[#This Row],[Harga Satuan]]*Table946[[#This Row],[Stock Akhir]]</f>
        <v>0</v>
      </c>
    </row>
    <row r="413" spans="1:12" hidden="1" x14ac:dyDescent="0.25">
      <c r="A413" s="5" cm="1">
        <f t="array" ref="A413">ROW()-ROW(Table946[#Headers])</f>
        <v>408</v>
      </c>
      <c r="B413" s="4" t="s">
        <v>570</v>
      </c>
      <c r="D413" s="4" t="s">
        <v>763</v>
      </c>
      <c r="E413" s="4" t="s">
        <v>15</v>
      </c>
      <c r="F413" s="4" t="s">
        <v>19</v>
      </c>
      <c r="G413" s="6">
        <v>0</v>
      </c>
      <c r="L413" s="6">
        <f>Table946[[#This Row],[Harga Satuan]]*Table946[[#This Row],[Stock Akhir]]</f>
        <v>0</v>
      </c>
    </row>
    <row r="414" spans="1:12" hidden="1" x14ac:dyDescent="0.25">
      <c r="A414" s="5" cm="1">
        <f t="array" ref="A414">ROW()-ROW(Table946[#Headers])</f>
        <v>409</v>
      </c>
      <c r="B414" s="4" t="s">
        <v>570</v>
      </c>
      <c r="D414" s="4" t="s">
        <v>764</v>
      </c>
      <c r="E414" s="4" t="s">
        <v>15</v>
      </c>
      <c r="F414" s="4" t="s">
        <v>19</v>
      </c>
      <c r="G414" s="6">
        <v>0</v>
      </c>
      <c r="L414" s="6">
        <f>Table946[[#This Row],[Harga Satuan]]*Table946[[#This Row],[Stock Akhir]]</f>
        <v>0</v>
      </c>
    </row>
    <row r="415" spans="1:12" hidden="1" x14ac:dyDescent="0.25">
      <c r="A415" s="5" cm="1">
        <f t="array" ref="A415">ROW()-ROW(Table946[#Headers])</f>
        <v>410</v>
      </c>
      <c r="B415" s="4" t="s">
        <v>570</v>
      </c>
      <c r="D415" s="4" t="s">
        <v>765</v>
      </c>
      <c r="E415" s="4" t="s">
        <v>15</v>
      </c>
      <c r="F415" s="4" t="s">
        <v>19</v>
      </c>
      <c r="G415" s="6">
        <v>0</v>
      </c>
      <c r="L415" s="6">
        <f>Table946[[#This Row],[Harga Satuan]]*Table946[[#This Row],[Stock Akhir]]</f>
        <v>0</v>
      </c>
    </row>
    <row r="416" spans="1:12" hidden="1" x14ac:dyDescent="0.25">
      <c r="A416" s="5" cm="1">
        <f t="array" ref="A416">ROW()-ROW(Table946[#Headers])</f>
        <v>411</v>
      </c>
      <c r="B416" s="4" t="s">
        <v>570</v>
      </c>
      <c r="D416" s="4" t="s">
        <v>766</v>
      </c>
      <c r="E416" s="4" t="s">
        <v>15</v>
      </c>
      <c r="F416" s="4" t="s">
        <v>19</v>
      </c>
      <c r="G416" s="6">
        <v>0</v>
      </c>
      <c r="L416" s="6">
        <f>Table946[[#This Row],[Harga Satuan]]*Table946[[#This Row],[Stock Akhir]]</f>
        <v>0</v>
      </c>
    </row>
    <row r="417" spans="1:12" hidden="1" x14ac:dyDescent="0.25">
      <c r="A417" s="5" cm="1">
        <f t="array" ref="A417">ROW()-ROW(Table946[#Headers])</f>
        <v>412</v>
      </c>
      <c r="B417" s="4" t="s">
        <v>570</v>
      </c>
      <c r="D417" s="4" t="s">
        <v>767</v>
      </c>
      <c r="E417" s="4" t="s">
        <v>15</v>
      </c>
      <c r="F417" s="4" t="s">
        <v>19</v>
      </c>
      <c r="G417" s="6">
        <v>0</v>
      </c>
      <c r="L417" s="6">
        <f>Table946[[#This Row],[Harga Satuan]]*Table946[[#This Row],[Stock Akhir]]</f>
        <v>0</v>
      </c>
    </row>
    <row r="418" spans="1:12" hidden="1" x14ac:dyDescent="0.25">
      <c r="A418" s="5" cm="1">
        <f t="array" ref="A418">ROW()-ROW(Table946[#Headers])</f>
        <v>413</v>
      </c>
      <c r="B418" s="4" t="s">
        <v>570</v>
      </c>
      <c r="D418" s="4" t="s">
        <v>768</v>
      </c>
      <c r="E418" s="4" t="s">
        <v>15</v>
      </c>
      <c r="F418" s="4" t="s">
        <v>19</v>
      </c>
      <c r="G418" s="6">
        <v>0</v>
      </c>
      <c r="L418" s="6">
        <f>Table946[[#This Row],[Harga Satuan]]*Table946[[#This Row],[Stock Akhir]]</f>
        <v>0</v>
      </c>
    </row>
    <row r="419" spans="1:12" hidden="1" x14ac:dyDescent="0.25">
      <c r="A419" s="5" cm="1">
        <f t="array" ref="A419">ROW()-ROW(Table946[#Headers])</f>
        <v>414</v>
      </c>
      <c r="B419" s="4" t="s">
        <v>570</v>
      </c>
      <c r="D419" s="4" t="s">
        <v>769</v>
      </c>
      <c r="E419" s="4" t="s">
        <v>15</v>
      </c>
      <c r="F419" s="4" t="s">
        <v>19</v>
      </c>
      <c r="G419" s="6">
        <v>0</v>
      </c>
      <c r="L419" s="6">
        <f>Table946[[#This Row],[Harga Satuan]]*Table946[[#This Row],[Stock Akhir]]</f>
        <v>0</v>
      </c>
    </row>
    <row r="420" spans="1:12" hidden="1" x14ac:dyDescent="0.25">
      <c r="A420" s="5" cm="1">
        <f t="array" ref="A420">ROW()-ROW(Table946[#Headers])</f>
        <v>415</v>
      </c>
      <c r="B420" s="4" t="s">
        <v>570</v>
      </c>
      <c r="D420" s="4" t="s">
        <v>770</v>
      </c>
      <c r="E420" s="4" t="s">
        <v>15</v>
      </c>
      <c r="F420" s="4" t="s">
        <v>19</v>
      </c>
      <c r="G420" s="6">
        <v>0</v>
      </c>
      <c r="L420" s="6">
        <f>Table946[[#This Row],[Harga Satuan]]*Table946[[#This Row],[Stock Akhir]]</f>
        <v>0</v>
      </c>
    </row>
    <row r="421" spans="1:12" hidden="1" x14ac:dyDescent="0.25">
      <c r="A421" s="5" cm="1">
        <f t="array" ref="A421">ROW()-ROW(Table946[#Headers])</f>
        <v>416</v>
      </c>
      <c r="B421" s="4" t="s">
        <v>570</v>
      </c>
      <c r="D421" s="4" t="s">
        <v>771</v>
      </c>
      <c r="E421" s="4" t="s">
        <v>15</v>
      </c>
      <c r="F421" s="4" t="s">
        <v>19</v>
      </c>
      <c r="G421" s="6">
        <v>0</v>
      </c>
      <c r="L421" s="6">
        <f>Table946[[#This Row],[Harga Satuan]]*Table946[[#This Row],[Stock Akhir]]</f>
        <v>0</v>
      </c>
    </row>
    <row r="422" spans="1:12" hidden="1" x14ac:dyDescent="0.25">
      <c r="A422" s="5" cm="1">
        <f t="array" ref="A422">ROW()-ROW(Table946[#Headers])</f>
        <v>417</v>
      </c>
      <c r="B422" s="4" t="s">
        <v>570</v>
      </c>
      <c r="D422" s="4" t="s">
        <v>772</v>
      </c>
      <c r="E422" s="4" t="s">
        <v>15</v>
      </c>
      <c r="F422" s="4" t="s">
        <v>19</v>
      </c>
      <c r="G422" s="6">
        <v>0</v>
      </c>
      <c r="L422" s="6">
        <f>Table946[[#This Row],[Harga Satuan]]*Table946[[#This Row],[Stock Akhir]]</f>
        <v>0</v>
      </c>
    </row>
    <row r="423" spans="1:12" hidden="1" x14ac:dyDescent="0.25">
      <c r="A423" s="5" cm="1">
        <f t="array" ref="A423">ROW()-ROW(Table946[#Headers])</f>
        <v>418</v>
      </c>
      <c r="B423" s="4" t="s">
        <v>570</v>
      </c>
      <c r="D423" s="4" t="s">
        <v>773</v>
      </c>
      <c r="E423" s="4" t="s">
        <v>15</v>
      </c>
      <c r="F423" s="4" t="s">
        <v>19</v>
      </c>
      <c r="G423" s="6">
        <v>0</v>
      </c>
      <c r="L423" s="6">
        <f>Table946[[#This Row],[Harga Satuan]]*Table946[[#This Row],[Stock Akhir]]</f>
        <v>0</v>
      </c>
    </row>
    <row r="424" spans="1:12" hidden="1" x14ac:dyDescent="0.25">
      <c r="A424" s="5" cm="1">
        <f t="array" ref="A424">ROW()-ROW(Table946[#Headers])</f>
        <v>419</v>
      </c>
      <c r="B424" s="4" t="s">
        <v>570</v>
      </c>
      <c r="D424" s="4" t="s">
        <v>774</v>
      </c>
      <c r="E424" s="4" t="s">
        <v>15</v>
      </c>
      <c r="F424" s="4" t="s">
        <v>19</v>
      </c>
      <c r="G424" s="6">
        <v>0</v>
      </c>
      <c r="L424" s="6">
        <f>Table946[[#This Row],[Harga Satuan]]*Table946[[#This Row],[Stock Akhir]]</f>
        <v>0</v>
      </c>
    </row>
    <row r="425" spans="1:12" hidden="1" x14ac:dyDescent="0.25">
      <c r="A425" s="5" cm="1">
        <f t="array" ref="A425">ROW()-ROW(Table946[#Headers])</f>
        <v>420</v>
      </c>
      <c r="B425" s="4" t="s">
        <v>570</v>
      </c>
      <c r="D425" s="4" t="s">
        <v>775</v>
      </c>
      <c r="E425" s="4" t="s">
        <v>15</v>
      </c>
      <c r="F425" s="4" t="s">
        <v>19</v>
      </c>
      <c r="G425" s="6">
        <v>0</v>
      </c>
      <c r="L425" s="6">
        <f>Table946[[#This Row],[Harga Satuan]]*Table946[[#This Row],[Stock Akhir]]</f>
        <v>0</v>
      </c>
    </row>
    <row r="426" spans="1:12" hidden="1" x14ac:dyDescent="0.25">
      <c r="A426" s="5" cm="1">
        <f t="array" ref="A426">ROW()-ROW(Table946[#Headers])</f>
        <v>421</v>
      </c>
      <c r="B426" s="4" t="s">
        <v>570</v>
      </c>
      <c r="D426" s="4" t="s">
        <v>776</v>
      </c>
      <c r="E426" s="4" t="s">
        <v>15</v>
      </c>
      <c r="F426" s="4" t="s">
        <v>19</v>
      </c>
      <c r="G426" s="6">
        <v>0</v>
      </c>
      <c r="L426" s="6">
        <f>Table946[[#This Row],[Harga Satuan]]*Table946[[#This Row],[Stock Akhir]]</f>
        <v>0</v>
      </c>
    </row>
    <row r="427" spans="1:12" hidden="1" x14ac:dyDescent="0.25">
      <c r="A427" s="5" cm="1">
        <f t="array" ref="A427">ROW()-ROW(Table946[#Headers])</f>
        <v>422</v>
      </c>
      <c r="B427" s="4" t="s">
        <v>570</v>
      </c>
      <c r="D427" s="4" t="s">
        <v>777</v>
      </c>
      <c r="E427" s="4" t="s">
        <v>15</v>
      </c>
      <c r="F427" s="4" t="s">
        <v>19</v>
      </c>
      <c r="G427" s="6">
        <v>0</v>
      </c>
      <c r="L427" s="6">
        <f>Table946[[#This Row],[Harga Satuan]]*Table946[[#This Row],[Stock Akhir]]</f>
        <v>0</v>
      </c>
    </row>
    <row r="428" spans="1:12" hidden="1" x14ac:dyDescent="0.25">
      <c r="A428" s="5" cm="1">
        <f t="array" ref="A428">ROW()-ROW(Table946[#Headers])</f>
        <v>423</v>
      </c>
      <c r="B428" s="4" t="s">
        <v>570</v>
      </c>
      <c r="D428" s="4" t="s">
        <v>778</v>
      </c>
      <c r="E428" s="4" t="s">
        <v>15</v>
      </c>
      <c r="F428" s="4" t="s">
        <v>19</v>
      </c>
      <c r="G428" s="6">
        <v>0</v>
      </c>
      <c r="L428" s="6">
        <f>Table946[[#This Row],[Harga Satuan]]*Table946[[#This Row],[Stock Akhir]]</f>
        <v>0</v>
      </c>
    </row>
    <row r="429" spans="1:12" hidden="1" x14ac:dyDescent="0.25">
      <c r="A429" s="5" cm="1">
        <f t="array" ref="A429">ROW()-ROW(Table946[#Headers])</f>
        <v>424</v>
      </c>
      <c r="B429" s="4" t="s">
        <v>570</v>
      </c>
      <c r="D429" s="4" t="s">
        <v>779</v>
      </c>
      <c r="E429" s="4" t="s">
        <v>15</v>
      </c>
      <c r="F429" s="4" t="s">
        <v>19</v>
      </c>
      <c r="G429" s="6">
        <v>0</v>
      </c>
      <c r="L429" s="6">
        <f>Table946[[#This Row],[Harga Satuan]]*Table946[[#This Row],[Stock Akhir]]</f>
        <v>0</v>
      </c>
    </row>
    <row r="430" spans="1:12" hidden="1" x14ac:dyDescent="0.25">
      <c r="A430" s="5" cm="1">
        <f t="array" ref="A430">ROW()-ROW(Table946[#Headers])</f>
        <v>425</v>
      </c>
      <c r="B430" s="4" t="s">
        <v>570</v>
      </c>
      <c r="D430" s="4" t="s">
        <v>780</v>
      </c>
      <c r="E430" s="4" t="s">
        <v>15</v>
      </c>
      <c r="F430" s="4" t="s">
        <v>19</v>
      </c>
      <c r="G430" s="6">
        <v>0</v>
      </c>
      <c r="L430" s="6">
        <f>Table946[[#This Row],[Harga Satuan]]*Table946[[#This Row],[Stock Akhir]]</f>
        <v>0</v>
      </c>
    </row>
    <row r="431" spans="1:12" hidden="1" x14ac:dyDescent="0.25">
      <c r="A431" s="5" cm="1">
        <f t="array" ref="A431">ROW()-ROW(Table946[#Headers])</f>
        <v>426</v>
      </c>
      <c r="B431" s="4" t="s">
        <v>570</v>
      </c>
      <c r="D431" s="4" t="s">
        <v>781</v>
      </c>
      <c r="E431" s="4" t="s">
        <v>15</v>
      </c>
      <c r="F431" s="4" t="s">
        <v>19</v>
      </c>
      <c r="G431" s="6">
        <v>0</v>
      </c>
      <c r="L431" s="6">
        <f>Table946[[#This Row],[Harga Satuan]]*Table946[[#This Row],[Stock Akhir]]</f>
        <v>0</v>
      </c>
    </row>
    <row r="432" spans="1:12" hidden="1" x14ac:dyDescent="0.25">
      <c r="A432" s="5" cm="1">
        <f t="array" ref="A432">ROW()-ROW(Table946[#Headers])</f>
        <v>427</v>
      </c>
      <c r="B432" s="4" t="s">
        <v>570</v>
      </c>
      <c r="D432" s="4" t="s">
        <v>782</v>
      </c>
      <c r="E432" s="4" t="s">
        <v>15</v>
      </c>
      <c r="F432" s="4" t="s">
        <v>19</v>
      </c>
      <c r="G432" s="6">
        <v>0</v>
      </c>
      <c r="L432" s="6">
        <f>Table946[[#This Row],[Harga Satuan]]*Table946[[#This Row],[Stock Akhir]]</f>
        <v>0</v>
      </c>
    </row>
    <row r="433" spans="1:12" hidden="1" x14ac:dyDescent="0.25">
      <c r="A433" s="5" cm="1">
        <f t="array" ref="A433">ROW()-ROW(Table946[#Headers])</f>
        <v>428</v>
      </c>
      <c r="B433" s="4" t="s">
        <v>570</v>
      </c>
      <c r="D433" s="4" t="s">
        <v>783</v>
      </c>
      <c r="E433" s="4" t="s">
        <v>15</v>
      </c>
      <c r="F433" s="4" t="s">
        <v>19</v>
      </c>
      <c r="G433" s="6">
        <v>0</v>
      </c>
      <c r="L433" s="6">
        <f>Table946[[#This Row],[Harga Satuan]]*Table946[[#This Row],[Stock Akhir]]</f>
        <v>0</v>
      </c>
    </row>
    <row r="434" spans="1:12" hidden="1" x14ac:dyDescent="0.25">
      <c r="A434" s="5" cm="1">
        <f t="array" ref="A434">ROW()-ROW(Table946[#Headers])</f>
        <v>429</v>
      </c>
      <c r="B434" s="4" t="s">
        <v>570</v>
      </c>
      <c r="D434" s="4" t="s">
        <v>784</v>
      </c>
      <c r="E434" s="4" t="s">
        <v>15</v>
      </c>
      <c r="F434" s="4" t="s">
        <v>19</v>
      </c>
      <c r="G434" s="6">
        <v>0</v>
      </c>
      <c r="L434" s="6">
        <f>Table946[[#This Row],[Harga Satuan]]*Table946[[#This Row],[Stock Akhir]]</f>
        <v>0</v>
      </c>
    </row>
    <row r="435" spans="1:12" hidden="1" x14ac:dyDescent="0.25">
      <c r="A435" s="5" cm="1">
        <f t="array" ref="A435">ROW()-ROW(Table946[#Headers])</f>
        <v>430</v>
      </c>
      <c r="B435" s="4" t="s">
        <v>570</v>
      </c>
      <c r="D435" s="4" t="s">
        <v>785</v>
      </c>
      <c r="E435" s="4" t="s">
        <v>15</v>
      </c>
      <c r="F435" s="4" t="s">
        <v>19</v>
      </c>
      <c r="G435" s="6">
        <v>0</v>
      </c>
      <c r="L435" s="6">
        <f>Table946[[#This Row],[Harga Satuan]]*Table946[[#This Row],[Stock Akhir]]</f>
        <v>0</v>
      </c>
    </row>
    <row r="436" spans="1:12" hidden="1" x14ac:dyDescent="0.25">
      <c r="A436" s="5" cm="1">
        <f t="array" ref="A436">ROW()-ROW(Table946[#Headers])</f>
        <v>431</v>
      </c>
      <c r="B436" s="4" t="s">
        <v>570</v>
      </c>
      <c r="D436" s="4" t="s">
        <v>786</v>
      </c>
      <c r="E436" s="4" t="s">
        <v>15</v>
      </c>
      <c r="F436" s="4" t="s">
        <v>19</v>
      </c>
      <c r="G436" s="6">
        <v>0</v>
      </c>
      <c r="L436" s="6">
        <f>Table946[[#This Row],[Harga Satuan]]*Table946[[#This Row],[Stock Akhir]]</f>
        <v>0</v>
      </c>
    </row>
    <row r="437" spans="1:12" hidden="1" x14ac:dyDescent="0.25">
      <c r="A437" s="5" cm="1">
        <f t="array" ref="A437">ROW()-ROW(Table946[#Headers])</f>
        <v>432</v>
      </c>
      <c r="B437" s="4" t="s">
        <v>570</v>
      </c>
      <c r="D437" s="4" t="s">
        <v>787</v>
      </c>
      <c r="E437" s="4" t="s">
        <v>15</v>
      </c>
      <c r="F437" s="4" t="s">
        <v>19</v>
      </c>
      <c r="G437" s="6">
        <v>0</v>
      </c>
      <c r="L437" s="6">
        <f>Table946[[#This Row],[Harga Satuan]]*Table946[[#This Row],[Stock Akhir]]</f>
        <v>0</v>
      </c>
    </row>
    <row r="438" spans="1:12" hidden="1" x14ac:dyDescent="0.25">
      <c r="A438" s="5" cm="1">
        <f t="array" ref="A438">ROW()-ROW(Table946[#Headers])</f>
        <v>433</v>
      </c>
      <c r="B438" s="4" t="s">
        <v>570</v>
      </c>
      <c r="D438" s="4" t="s">
        <v>788</v>
      </c>
      <c r="E438" s="4" t="s">
        <v>15</v>
      </c>
      <c r="F438" s="4" t="s">
        <v>19</v>
      </c>
      <c r="G438" s="6">
        <v>0</v>
      </c>
      <c r="L438" s="6">
        <f>Table946[[#This Row],[Harga Satuan]]*Table946[[#This Row],[Stock Akhir]]</f>
        <v>0</v>
      </c>
    </row>
    <row r="439" spans="1:12" hidden="1" x14ac:dyDescent="0.25">
      <c r="A439" s="5" cm="1">
        <f t="array" ref="A439">ROW()-ROW(Table946[#Headers])</f>
        <v>434</v>
      </c>
      <c r="B439" s="4" t="s">
        <v>570</v>
      </c>
      <c r="D439" s="4" t="s">
        <v>789</v>
      </c>
      <c r="E439" s="4" t="s">
        <v>15</v>
      </c>
      <c r="F439" s="4" t="s">
        <v>19</v>
      </c>
      <c r="G439" s="6">
        <v>0</v>
      </c>
      <c r="L439" s="6">
        <f>Table946[[#This Row],[Harga Satuan]]*Table946[[#This Row],[Stock Akhir]]</f>
        <v>0</v>
      </c>
    </row>
    <row r="440" spans="1:12" x14ac:dyDescent="0.25">
      <c r="A440" s="15" cm="1">
        <f t="array" ref="A440">ROW()-ROW(Table946[#Headers])</f>
        <v>435</v>
      </c>
      <c r="B440" s="16" t="s">
        <v>570</v>
      </c>
      <c r="C440" s="16" t="s">
        <v>790</v>
      </c>
      <c r="D440" s="16" t="s">
        <v>791</v>
      </c>
      <c r="E440" s="16" t="s">
        <v>15</v>
      </c>
      <c r="F440" s="16" t="s">
        <v>19</v>
      </c>
      <c r="G440" s="6">
        <v>1150000</v>
      </c>
      <c r="H440" s="15"/>
      <c r="L440" s="6">
        <f>Table946[[#This Row],[Harga Satuan]]*Table946[[#This Row],[Stock Akhir]]</f>
        <v>0</v>
      </c>
    </row>
    <row r="441" spans="1:12" x14ac:dyDescent="0.25">
      <c r="A441" s="15" cm="1">
        <f t="array" ref="A441">ROW()-ROW(Table946[#Headers])</f>
        <v>436</v>
      </c>
      <c r="B441" s="16" t="s">
        <v>570</v>
      </c>
      <c r="C441" s="18" t="s">
        <v>792</v>
      </c>
      <c r="D441" s="19" t="s">
        <v>793</v>
      </c>
      <c r="E441" s="16" t="s">
        <v>15</v>
      </c>
      <c r="F441" s="16" t="s">
        <v>19</v>
      </c>
      <c r="G441" s="6">
        <v>285000</v>
      </c>
      <c r="H441" s="15"/>
      <c r="L441" s="6">
        <f>Table946[[#This Row],[Harga Satuan]]*Table946[[#This Row],[Stock Akhir]]</f>
        <v>0</v>
      </c>
    </row>
    <row r="442" spans="1:12" x14ac:dyDescent="0.25">
      <c r="A442" s="15" cm="1">
        <f t="array" ref="A442">ROW()-ROW(Table946[#Headers])</f>
        <v>437</v>
      </c>
      <c r="B442" s="16" t="s">
        <v>570</v>
      </c>
      <c r="C442" s="18" t="s">
        <v>794</v>
      </c>
      <c r="D442" s="19" t="s">
        <v>795</v>
      </c>
      <c r="E442" s="16" t="s">
        <v>15</v>
      </c>
      <c r="F442" s="16" t="s">
        <v>19</v>
      </c>
      <c r="G442" s="6">
        <v>285000</v>
      </c>
      <c r="H442" s="15"/>
      <c r="L442" s="6">
        <f>Table946[[#This Row],[Harga Satuan]]*Table946[[#This Row],[Stock Akhir]]</f>
        <v>0</v>
      </c>
    </row>
    <row r="443" spans="1:12" x14ac:dyDescent="0.25">
      <c r="A443" s="15" cm="1">
        <f t="array" ref="A443">ROW()-ROW(Table946[#Headers])</f>
        <v>438</v>
      </c>
      <c r="B443" s="16" t="s">
        <v>570</v>
      </c>
      <c r="C443" s="16" t="s">
        <v>796</v>
      </c>
      <c r="D443" s="16" t="s">
        <v>797</v>
      </c>
      <c r="E443" s="16" t="s">
        <v>15</v>
      </c>
      <c r="F443" s="16" t="s">
        <v>19</v>
      </c>
      <c r="G443" s="6">
        <v>65000</v>
      </c>
      <c r="H443" s="15"/>
      <c r="L443" s="6">
        <f>Table946[[#This Row],[Harga Satuan]]*Table946[[#This Row],[Stock Akhir]]</f>
        <v>0</v>
      </c>
    </row>
    <row r="444" spans="1:12" x14ac:dyDescent="0.25">
      <c r="A444" s="15" cm="1">
        <f t="array" ref="A444">ROW()-ROW(Table946[#Headers])</f>
        <v>439</v>
      </c>
      <c r="B444" s="16" t="s">
        <v>570</v>
      </c>
      <c r="C444" s="16" t="s">
        <v>798</v>
      </c>
      <c r="D444" s="16" t="s">
        <v>799</v>
      </c>
      <c r="E444" s="16" t="s">
        <v>15</v>
      </c>
      <c r="F444" s="16" t="s">
        <v>19</v>
      </c>
      <c r="G444" s="6">
        <v>0</v>
      </c>
      <c r="H444" s="15"/>
      <c r="L444" s="6">
        <f>Table946[[#This Row],[Harga Satuan]]*Table946[[#This Row],[Stock Akhir]]</f>
        <v>0</v>
      </c>
    </row>
    <row r="445" spans="1:12" x14ac:dyDescent="0.25">
      <c r="A445" s="15" cm="1">
        <f t="array" ref="A445">ROW()-ROW(Table946[#Headers])</f>
        <v>440</v>
      </c>
      <c r="B445" s="16" t="s">
        <v>570</v>
      </c>
      <c r="C445" s="16" t="s">
        <v>800</v>
      </c>
      <c r="D445" s="16" t="s">
        <v>801</v>
      </c>
      <c r="E445" s="16" t="s">
        <v>15</v>
      </c>
      <c r="F445" s="16" t="s">
        <v>19</v>
      </c>
      <c r="G445" s="6">
        <v>650000</v>
      </c>
      <c r="H445" s="15"/>
      <c r="L445" s="6">
        <f>Table946[[#This Row],[Harga Satuan]]*Table946[[#This Row],[Stock Akhir]]</f>
        <v>0</v>
      </c>
    </row>
    <row r="446" spans="1:12" x14ac:dyDescent="0.25">
      <c r="A446" s="15" cm="1">
        <f t="array" ref="A446">ROW()-ROW(Table946[#Headers])</f>
        <v>441</v>
      </c>
      <c r="B446" s="16" t="s">
        <v>570</v>
      </c>
      <c r="C446" s="16" t="s">
        <v>802</v>
      </c>
      <c r="D446" s="16" t="s">
        <v>803</v>
      </c>
      <c r="E446" s="16" t="s">
        <v>15</v>
      </c>
      <c r="F446" s="16" t="s">
        <v>19</v>
      </c>
      <c r="G446" s="6">
        <v>12000</v>
      </c>
      <c r="H446" s="15"/>
      <c r="L446" s="6">
        <f>Table946[[#This Row],[Harga Satuan]]*Table946[[#This Row],[Stock Akhir]]</f>
        <v>0</v>
      </c>
    </row>
    <row r="447" spans="1:12" x14ac:dyDescent="0.25">
      <c r="A447" s="15" cm="1">
        <f t="array" ref="A447">ROW()-ROW(Table946[#Headers])</f>
        <v>442</v>
      </c>
      <c r="B447" s="16" t="s">
        <v>570</v>
      </c>
      <c r="C447" s="16" t="s">
        <v>804</v>
      </c>
      <c r="D447" s="16" t="s">
        <v>805</v>
      </c>
      <c r="E447" s="16" t="s">
        <v>15</v>
      </c>
      <c r="F447" s="16" t="s">
        <v>19</v>
      </c>
      <c r="G447" s="6">
        <v>2550000</v>
      </c>
      <c r="H447" s="15"/>
      <c r="L447" s="6">
        <f>Table946[[#This Row],[Harga Satuan]]*Table946[[#This Row],[Stock Akhir]]</f>
        <v>0</v>
      </c>
    </row>
    <row r="448" spans="1:12" x14ac:dyDescent="0.25">
      <c r="A448" s="15" cm="1">
        <f t="array" ref="A448">ROW()-ROW(Table946[#Headers])</f>
        <v>443</v>
      </c>
      <c r="B448" s="16" t="s">
        <v>570</v>
      </c>
      <c r="C448" s="16" t="s">
        <v>806</v>
      </c>
      <c r="D448" s="16" t="s">
        <v>807</v>
      </c>
      <c r="E448" s="16" t="s">
        <v>15</v>
      </c>
      <c r="F448" s="16" t="s">
        <v>19</v>
      </c>
      <c r="G448" s="6">
        <v>1750000</v>
      </c>
      <c r="H448" s="15"/>
      <c r="L448" s="6">
        <f>Table946[[#This Row],[Harga Satuan]]*Table946[[#This Row],[Stock Akhir]]</f>
        <v>0</v>
      </c>
    </row>
    <row r="449" spans="1:12" x14ac:dyDescent="0.25">
      <c r="A449" s="15" cm="1">
        <f t="array" ref="A449">ROW()-ROW(Table946[#Headers])</f>
        <v>444</v>
      </c>
      <c r="B449" s="16" t="s">
        <v>570</v>
      </c>
      <c r="C449" s="16" t="s">
        <v>808</v>
      </c>
      <c r="D449" s="16" t="s">
        <v>809</v>
      </c>
      <c r="E449" s="16" t="s">
        <v>15</v>
      </c>
      <c r="F449" s="16" t="s">
        <v>19</v>
      </c>
      <c r="G449" s="6">
        <v>3350000</v>
      </c>
      <c r="H449" s="15"/>
      <c r="L449" s="6">
        <f>Table946[[#This Row],[Harga Satuan]]*Table946[[#This Row],[Stock Akhir]]</f>
        <v>0</v>
      </c>
    </row>
    <row r="450" spans="1:12" x14ac:dyDescent="0.25">
      <c r="A450" s="15" cm="1">
        <f t="array" ref="A450">ROW()-ROW(Table946[#Headers])</f>
        <v>445</v>
      </c>
      <c r="B450" s="16" t="s">
        <v>570</v>
      </c>
      <c r="C450" s="16" t="s">
        <v>810</v>
      </c>
      <c r="D450" s="16" t="s">
        <v>811</v>
      </c>
      <c r="E450" s="16" t="s">
        <v>15</v>
      </c>
      <c r="F450" s="16" t="s">
        <v>19</v>
      </c>
      <c r="G450" s="6">
        <v>80000</v>
      </c>
      <c r="H450" s="15"/>
      <c r="L450" s="6">
        <f>Table946[[#This Row],[Harga Satuan]]*Table946[[#This Row],[Stock Akhir]]</f>
        <v>0</v>
      </c>
    </row>
    <row r="451" spans="1:12" x14ac:dyDescent="0.25">
      <c r="A451" s="15" cm="1">
        <f t="array" ref="A451">ROW()-ROW(Table946[#Headers])</f>
        <v>446</v>
      </c>
      <c r="B451" s="16" t="s">
        <v>570</v>
      </c>
      <c r="C451" s="16" t="s">
        <v>812</v>
      </c>
      <c r="D451" s="16" t="s">
        <v>813</v>
      </c>
      <c r="E451" s="16" t="s">
        <v>15</v>
      </c>
      <c r="F451" s="16" t="s">
        <v>26</v>
      </c>
      <c r="G451" s="6">
        <v>3700000</v>
      </c>
      <c r="H451" s="15"/>
      <c r="L451" s="6">
        <f>Table946[[#This Row],[Harga Satuan]]*Table946[[#This Row],[Stock Akhir]]</f>
        <v>0</v>
      </c>
    </row>
    <row r="452" spans="1:12" x14ac:dyDescent="0.25">
      <c r="A452" s="15" cm="1">
        <f t="array" ref="A452">ROW()-ROW(Table946[#Headers])</f>
        <v>447</v>
      </c>
      <c r="B452" s="16" t="s">
        <v>570</v>
      </c>
      <c r="C452" s="16" t="s">
        <v>814</v>
      </c>
      <c r="D452" s="16" t="s">
        <v>815</v>
      </c>
      <c r="E452" s="16" t="s">
        <v>15</v>
      </c>
      <c r="F452" s="16" t="s">
        <v>26</v>
      </c>
      <c r="G452" s="6">
        <v>0</v>
      </c>
      <c r="H452" s="15"/>
      <c r="L452" s="6">
        <f>Table946[[#This Row],[Harga Satuan]]*Table946[[#This Row],[Stock Akhir]]</f>
        <v>0</v>
      </c>
    </row>
    <row r="453" spans="1:12" x14ac:dyDescent="0.25">
      <c r="A453" s="15" cm="1">
        <f t="array" ref="A453">ROW()-ROW(Table946[#Headers])</f>
        <v>448</v>
      </c>
      <c r="B453" s="16" t="s">
        <v>570</v>
      </c>
      <c r="C453" s="16" t="s">
        <v>816</v>
      </c>
      <c r="D453" s="16" t="s">
        <v>817</v>
      </c>
      <c r="E453" s="16" t="s">
        <v>15</v>
      </c>
      <c r="F453" s="16" t="s">
        <v>26</v>
      </c>
      <c r="G453" s="6">
        <v>3476400</v>
      </c>
      <c r="H453" s="15"/>
      <c r="L453" s="6">
        <f>Table946[[#This Row],[Harga Satuan]]*Table946[[#This Row],[Stock Akhir]]</f>
        <v>0</v>
      </c>
    </row>
    <row r="454" spans="1:12" x14ac:dyDescent="0.25">
      <c r="A454" s="15" cm="1">
        <f t="array" ref="A454">ROW()-ROW(Table946[#Headers])</f>
        <v>449</v>
      </c>
      <c r="B454" s="16" t="s">
        <v>570</v>
      </c>
      <c r="C454" s="16" t="s">
        <v>818</v>
      </c>
      <c r="D454" s="16" t="s">
        <v>819</v>
      </c>
      <c r="E454" s="16" t="s">
        <v>15</v>
      </c>
      <c r="F454" s="16" t="s">
        <v>26</v>
      </c>
      <c r="G454" s="6">
        <v>3847300</v>
      </c>
      <c r="H454" s="15"/>
      <c r="L454" s="6">
        <f>Table946[[#This Row],[Harga Satuan]]*Table946[[#This Row],[Stock Akhir]]</f>
        <v>0</v>
      </c>
    </row>
    <row r="455" spans="1:12" x14ac:dyDescent="0.25">
      <c r="A455" s="15" cm="1">
        <f t="array" ref="A455">ROW()-ROW(Table946[#Headers])</f>
        <v>450</v>
      </c>
      <c r="B455" s="16" t="s">
        <v>570</v>
      </c>
      <c r="C455" s="16" t="s">
        <v>820</v>
      </c>
      <c r="D455" s="16" t="s">
        <v>821</v>
      </c>
      <c r="E455" s="16" t="s">
        <v>15</v>
      </c>
      <c r="F455" s="16" t="s">
        <v>26</v>
      </c>
      <c r="G455" s="6">
        <v>3790100</v>
      </c>
      <c r="H455" s="15"/>
      <c r="L455" s="6">
        <f>Table946[[#This Row],[Harga Satuan]]*Table946[[#This Row],[Stock Akhir]]</f>
        <v>0</v>
      </c>
    </row>
    <row r="456" spans="1:12" x14ac:dyDescent="0.25">
      <c r="A456" s="15" cm="1">
        <f t="array" ref="A456">ROW()-ROW(Table946[#Headers])</f>
        <v>451</v>
      </c>
      <c r="B456" s="16" t="s">
        <v>570</v>
      </c>
      <c r="C456" s="16" t="s">
        <v>822</v>
      </c>
      <c r="D456" s="16" t="s">
        <v>823</v>
      </c>
      <c r="E456" s="16" t="s">
        <v>15</v>
      </c>
      <c r="F456" s="16" t="s">
        <v>26</v>
      </c>
      <c r="G456" s="6">
        <v>3790100</v>
      </c>
      <c r="H456" s="15"/>
      <c r="L456" s="6">
        <f>Table946[[#This Row],[Harga Satuan]]*Table946[[#This Row],[Stock Akhir]]</f>
        <v>0</v>
      </c>
    </row>
    <row r="457" spans="1:12" x14ac:dyDescent="0.25">
      <c r="A457" s="15" cm="1">
        <f t="array" ref="A457">ROW()-ROW(Table946[#Headers])</f>
        <v>452</v>
      </c>
      <c r="B457" s="16" t="s">
        <v>570</v>
      </c>
      <c r="C457" s="16" t="s">
        <v>824</v>
      </c>
      <c r="D457" s="16" t="s">
        <v>825</v>
      </c>
      <c r="E457" s="16" t="s">
        <v>15</v>
      </c>
      <c r="F457" s="16" t="s">
        <v>26</v>
      </c>
      <c r="G457" s="6">
        <v>3476400</v>
      </c>
      <c r="H457" s="15"/>
      <c r="L457" s="6">
        <f>Table946[[#This Row],[Harga Satuan]]*Table946[[#This Row],[Stock Akhir]]</f>
        <v>0</v>
      </c>
    </row>
    <row r="458" spans="1:12" x14ac:dyDescent="0.25">
      <c r="A458" s="15" cm="1">
        <f t="array" ref="A458">ROW()-ROW(Table946[#Headers])</f>
        <v>453</v>
      </c>
      <c r="B458" s="16" t="s">
        <v>570</v>
      </c>
      <c r="C458" s="16" t="s">
        <v>826</v>
      </c>
      <c r="D458" s="16" t="s">
        <v>827</v>
      </c>
      <c r="E458" s="16" t="s">
        <v>15</v>
      </c>
      <c r="F458" s="16" t="s">
        <v>26</v>
      </c>
      <c r="G458" s="6">
        <v>2723300</v>
      </c>
      <c r="H458" s="15"/>
      <c r="L458" s="6">
        <f>Table946[[#This Row],[Harga Satuan]]*Table946[[#This Row],[Stock Akhir]]</f>
        <v>0</v>
      </c>
    </row>
    <row r="459" spans="1:12" x14ac:dyDescent="0.25">
      <c r="A459" s="15" cm="1">
        <f t="array" ref="A459">ROW()-ROW(Table946[#Headers])</f>
        <v>454</v>
      </c>
      <c r="B459" s="16" t="s">
        <v>570</v>
      </c>
      <c r="C459" s="16" t="s">
        <v>828</v>
      </c>
      <c r="D459" s="16" t="s">
        <v>829</v>
      </c>
      <c r="E459" s="16" t="s">
        <v>15</v>
      </c>
      <c r="F459" s="16" t="s">
        <v>26</v>
      </c>
      <c r="G459" s="6">
        <v>2723300</v>
      </c>
      <c r="H459" s="15"/>
      <c r="L459" s="6">
        <f>Table946[[#This Row],[Harga Satuan]]*Table946[[#This Row],[Stock Akhir]]</f>
        <v>0</v>
      </c>
    </row>
    <row r="460" spans="1:12" x14ac:dyDescent="0.25">
      <c r="A460" s="15" cm="1">
        <f t="array" ref="A460">ROW()-ROW(Table946[#Headers])</f>
        <v>455</v>
      </c>
      <c r="B460" s="16" t="s">
        <v>570</v>
      </c>
      <c r="C460" s="16" t="s">
        <v>830</v>
      </c>
      <c r="D460" s="16" t="s">
        <v>831</v>
      </c>
      <c r="E460" s="16" t="s">
        <v>15</v>
      </c>
      <c r="F460" s="16" t="s">
        <v>26</v>
      </c>
      <c r="G460" s="6">
        <v>0</v>
      </c>
      <c r="H460" s="15"/>
      <c r="L460" s="6">
        <f>Table946[[#This Row],[Harga Satuan]]*Table946[[#This Row],[Stock Akhir]]</f>
        <v>0</v>
      </c>
    </row>
    <row r="461" spans="1:12" x14ac:dyDescent="0.25">
      <c r="A461" s="15" cm="1">
        <f t="array" ref="A461">ROW()-ROW(Table946[#Headers])</f>
        <v>456</v>
      </c>
      <c r="B461" s="16" t="s">
        <v>570</v>
      </c>
      <c r="C461" s="16" t="s">
        <v>832</v>
      </c>
      <c r="D461" s="16" t="s">
        <v>833</v>
      </c>
      <c r="E461" s="16" t="s">
        <v>15</v>
      </c>
      <c r="F461" s="16" t="s">
        <v>26</v>
      </c>
      <c r="G461" s="6">
        <v>0</v>
      </c>
      <c r="H461" s="15"/>
      <c r="L461" s="6">
        <f>Table946[[#This Row],[Harga Satuan]]*Table946[[#This Row],[Stock Akhir]]</f>
        <v>0</v>
      </c>
    </row>
    <row r="462" spans="1:12" x14ac:dyDescent="0.25">
      <c r="A462" s="15" cm="1">
        <f t="array" ref="A462">ROW()-ROW(Table946[#Headers])</f>
        <v>457</v>
      </c>
      <c r="B462" s="16" t="s">
        <v>570</v>
      </c>
      <c r="C462" s="16" t="s">
        <v>834</v>
      </c>
      <c r="D462" s="16" t="s">
        <v>835</v>
      </c>
      <c r="E462" s="16" t="s">
        <v>15</v>
      </c>
      <c r="F462" s="16" t="s">
        <v>19</v>
      </c>
      <c r="G462" s="6">
        <v>2900000</v>
      </c>
      <c r="H462" s="15"/>
      <c r="L462" s="6">
        <f>Table946[[#This Row],[Harga Satuan]]*Table946[[#This Row],[Stock Akhir]]</f>
        <v>0</v>
      </c>
    </row>
    <row r="463" spans="1:12" x14ac:dyDescent="0.25">
      <c r="A463" s="15" cm="1">
        <f t="array" ref="A463">ROW()-ROW(Table946[#Headers])</f>
        <v>458</v>
      </c>
      <c r="B463" s="16" t="s">
        <v>570</v>
      </c>
      <c r="C463" s="16" t="s">
        <v>836</v>
      </c>
      <c r="D463" s="16" t="s">
        <v>837</v>
      </c>
      <c r="E463" s="16" t="s">
        <v>15</v>
      </c>
      <c r="F463" s="16" t="s">
        <v>19</v>
      </c>
      <c r="G463" s="6">
        <v>6700000</v>
      </c>
      <c r="H463" s="15"/>
      <c r="L463" s="6">
        <f>Table946[[#This Row],[Harga Satuan]]*Table946[[#This Row],[Stock Akhir]]</f>
        <v>0</v>
      </c>
    </row>
    <row r="464" spans="1:12" x14ac:dyDescent="0.25">
      <c r="A464" s="15" cm="1">
        <f t="array" ref="A464">ROW()-ROW(Table946[#Headers])</f>
        <v>459</v>
      </c>
      <c r="B464" s="16" t="s">
        <v>570</v>
      </c>
      <c r="C464" s="16" t="s">
        <v>838</v>
      </c>
      <c r="D464" s="16" t="s">
        <v>839</v>
      </c>
      <c r="E464" s="16" t="s">
        <v>15</v>
      </c>
      <c r="F464" s="16" t="s">
        <v>19</v>
      </c>
      <c r="G464" s="6">
        <v>2702703</v>
      </c>
      <c r="H464" s="15"/>
      <c r="L464" s="6">
        <f>Table946[[#This Row],[Harga Satuan]]*Table946[[#This Row],[Stock Akhir]]</f>
        <v>0</v>
      </c>
    </row>
    <row r="465" spans="1:12" x14ac:dyDescent="0.25">
      <c r="A465" s="15" cm="1">
        <f t="array" ref="A465">ROW()-ROW(Table946[#Headers])</f>
        <v>460</v>
      </c>
      <c r="B465" s="16" t="s">
        <v>570</v>
      </c>
      <c r="C465" s="16" t="s">
        <v>840</v>
      </c>
      <c r="D465" s="16" t="s">
        <v>841</v>
      </c>
      <c r="E465" s="16" t="s">
        <v>15</v>
      </c>
      <c r="F465" s="16" t="s">
        <v>19</v>
      </c>
      <c r="G465" s="6">
        <v>2702703</v>
      </c>
      <c r="H465" s="15"/>
      <c r="L465" s="6">
        <f>Table946[[#This Row],[Harga Satuan]]*Table946[[#This Row],[Stock Akhir]]</f>
        <v>0</v>
      </c>
    </row>
    <row r="466" spans="1:12" x14ac:dyDescent="0.25">
      <c r="A466" s="15" cm="1">
        <f t="array" ref="A466">ROW()-ROW(Table946[#Headers])</f>
        <v>461</v>
      </c>
      <c r="B466" s="16" t="s">
        <v>570</v>
      </c>
      <c r="C466" s="16" t="s">
        <v>842</v>
      </c>
      <c r="D466" s="16" t="s">
        <v>843</v>
      </c>
      <c r="E466" s="16" t="s">
        <v>15</v>
      </c>
      <c r="F466" s="16" t="s">
        <v>19</v>
      </c>
      <c r="G466" s="6">
        <v>5700000</v>
      </c>
      <c r="H466" s="15"/>
      <c r="L466" s="6">
        <f>Table946[[#This Row],[Harga Satuan]]*Table946[[#This Row],[Stock Akhir]]</f>
        <v>0</v>
      </c>
    </row>
    <row r="467" spans="1:12" x14ac:dyDescent="0.25">
      <c r="A467" s="15" cm="1">
        <f t="array" ref="A467">ROW()-ROW(Table946[#Headers])</f>
        <v>462</v>
      </c>
      <c r="B467" s="16" t="s">
        <v>570</v>
      </c>
      <c r="C467" s="16" t="s">
        <v>844</v>
      </c>
      <c r="D467" s="16" t="s">
        <v>845</v>
      </c>
      <c r="E467" s="16" t="s">
        <v>15</v>
      </c>
      <c r="F467" s="16" t="s">
        <v>19</v>
      </c>
      <c r="G467" s="6">
        <v>130000</v>
      </c>
      <c r="H467" s="15"/>
      <c r="L467" s="6">
        <f>Table946[[#This Row],[Harga Satuan]]*Table946[[#This Row],[Stock Akhir]]</f>
        <v>0</v>
      </c>
    </row>
    <row r="468" spans="1:12" x14ac:dyDescent="0.25">
      <c r="A468" s="15" cm="1">
        <f t="array" ref="A468">ROW()-ROW(Table946[#Headers])</f>
        <v>463</v>
      </c>
      <c r="B468" s="16" t="s">
        <v>570</v>
      </c>
      <c r="C468" s="16" t="s">
        <v>846</v>
      </c>
      <c r="D468" s="16" t="s">
        <v>847</v>
      </c>
      <c r="E468" s="16" t="s">
        <v>15</v>
      </c>
      <c r="F468" s="16" t="s">
        <v>19</v>
      </c>
      <c r="G468" s="6">
        <v>250000</v>
      </c>
      <c r="H468" s="15"/>
      <c r="L468" s="6">
        <f>Table946[[#This Row],[Harga Satuan]]*Table946[[#This Row],[Stock Akhir]]</f>
        <v>0</v>
      </c>
    </row>
    <row r="469" spans="1:12" x14ac:dyDescent="0.25">
      <c r="A469" s="15" cm="1">
        <f t="array" ref="A469">ROW()-ROW(Table946[#Headers])</f>
        <v>464</v>
      </c>
      <c r="B469" s="16" t="s">
        <v>570</v>
      </c>
      <c r="C469" s="16" t="s">
        <v>848</v>
      </c>
      <c r="D469" s="16" t="s">
        <v>849</v>
      </c>
      <c r="E469" s="16" t="s">
        <v>15</v>
      </c>
      <c r="F469" s="16" t="s">
        <v>26</v>
      </c>
      <c r="G469" s="6">
        <v>35000</v>
      </c>
      <c r="H469" s="15"/>
      <c r="L469" s="6">
        <f>Table946[[#This Row],[Harga Satuan]]*Table946[[#This Row],[Stock Akhir]]</f>
        <v>0</v>
      </c>
    </row>
    <row r="470" spans="1:12" x14ac:dyDescent="0.25">
      <c r="A470" s="15" cm="1">
        <f t="array" ref="A470">ROW()-ROW(Table946[#Headers])</f>
        <v>465</v>
      </c>
      <c r="B470" s="16" t="s">
        <v>570</v>
      </c>
      <c r="C470" s="16" t="s">
        <v>850</v>
      </c>
      <c r="D470" s="16" t="s">
        <v>851</v>
      </c>
      <c r="E470" s="16" t="s">
        <v>15</v>
      </c>
      <c r="F470" s="16" t="s">
        <v>26</v>
      </c>
      <c r="G470" s="6">
        <v>0</v>
      </c>
      <c r="H470" s="15"/>
      <c r="L470" s="6">
        <f>Table946[[#This Row],[Harga Satuan]]*Table946[[#This Row],[Stock Akhir]]</f>
        <v>0</v>
      </c>
    </row>
    <row r="471" spans="1:12" x14ac:dyDescent="0.25">
      <c r="A471" s="15" cm="1">
        <f t="array" ref="A471">ROW()-ROW(Table946[#Headers])</f>
        <v>466</v>
      </c>
      <c r="B471" s="16" t="s">
        <v>570</v>
      </c>
      <c r="C471" s="16" t="s">
        <v>852</v>
      </c>
      <c r="D471" s="16" t="s">
        <v>853</v>
      </c>
      <c r="E471" s="16" t="s">
        <v>15</v>
      </c>
      <c r="F471" s="16" t="s">
        <v>19</v>
      </c>
      <c r="G471" s="6">
        <v>1600000</v>
      </c>
      <c r="H471" s="15"/>
      <c r="L471" s="6">
        <f>Table946[[#This Row],[Harga Satuan]]*Table946[[#This Row],[Stock Akhir]]</f>
        <v>0</v>
      </c>
    </row>
    <row r="472" spans="1:12" x14ac:dyDescent="0.25">
      <c r="A472" s="15" cm="1">
        <f t="array" ref="A472">ROW()-ROW(Table946[#Headers])</f>
        <v>467</v>
      </c>
      <c r="B472" s="16" t="s">
        <v>570</v>
      </c>
      <c r="C472" s="16" t="s">
        <v>854</v>
      </c>
      <c r="D472" s="16" t="s">
        <v>855</v>
      </c>
      <c r="E472" s="16" t="s">
        <v>15</v>
      </c>
      <c r="F472" s="16" t="s">
        <v>26</v>
      </c>
      <c r="G472" s="6">
        <v>4400000</v>
      </c>
      <c r="H472" s="15"/>
      <c r="L472" s="6">
        <f>Table946[[#This Row],[Harga Satuan]]*Table946[[#This Row],[Stock Akhir]]</f>
        <v>0</v>
      </c>
    </row>
    <row r="473" spans="1:12" x14ac:dyDescent="0.25">
      <c r="A473" s="15" cm="1">
        <f t="array" ref="A473">ROW()-ROW(Table946[#Headers])</f>
        <v>468</v>
      </c>
      <c r="B473" s="16" t="s">
        <v>570</v>
      </c>
      <c r="C473" s="16" t="s">
        <v>856</v>
      </c>
      <c r="D473" s="16" t="s">
        <v>857</v>
      </c>
      <c r="E473" s="16" t="s">
        <v>15</v>
      </c>
      <c r="F473" s="16" t="s">
        <v>19</v>
      </c>
      <c r="G473" s="6">
        <v>122500</v>
      </c>
      <c r="H473" s="15"/>
      <c r="L473" s="6">
        <f>Table946[[#This Row],[Harga Satuan]]*Table946[[#This Row],[Stock Akhir]]</f>
        <v>0</v>
      </c>
    </row>
    <row r="474" spans="1:12" x14ac:dyDescent="0.25">
      <c r="A474" s="15" cm="1">
        <f t="array" ref="A474">ROW()-ROW(Table946[#Headers])</f>
        <v>469</v>
      </c>
      <c r="B474" s="16" t="s">
        <v>570</v>
      </c>
      <c r="C474" s="16" t="s">
        <v>858</v>
      </c>
      <c r="D474" s="16" t="s">
        <v>859</v>
      </c>
      <c r="E474" s="16" t="s">
        <v>15</v>
      </c>
      <c r="F474" s="16" t="s">
        <v>19</v>
      </c>
      <c r="G474" s="6">
        <v>450000</v>
      </c>
      <c r="H474" s="15"/>
      <c r="L474" s="6">
        <f>Table946[[#This Row],[Harga Satuan]]*Table946[[#This Row],[Stock Akhir]]</f>
        <v>0</v>
      </c>
    </row>
    <row r="475" spans="1:12" x14ac:dyDescent="0.25">
      <c r="A475" s="15" cm="1">
        <f t="array" ref="A475">ROW()-ROW(Table946[#Headers])</f>
        <v>470</v>
      </c>
      <c r="B475" s="16" t="s">
        <v>570</v>
      </c>
      <c r="C475" s="16" t="s">
        <v>860</v>
      </c>
      <c r="D475" s="16" t="s">
        <v>861</v>
      </c>
      <c r="E475" s="16" t="s">
        <v>15</v>
      </c>
      <c r="F475" s="16" t="s">
        <v>19</v>
      </c>
      <c r="G475" s="6">
        <v>38000</v>
      </c>
      <c r="H475" s="15"/>
      <c r="L475" s="6">
        <f>Table946[[#This Row],[Harga Satuan]]*Table946[[#This Row],[Stock Akhir]]</f>
        <v>0</v>
      </c>
    </row>
    <row r="476" spans="1:12" x14ac:dyDescent="0.25">
      <c r="A476" s="15" cm="1">
        <f t="array" ref="A476">ROW()-ROW(Table946[#Headers])</f>
        <v>471</v>
      </c>
      <c r="B476" s="16" t="s">
        <v>570</v>
      </c>
      <c r="C476" s="16" t="s">
        <v>862</v>
      </c>
      <c r="D476" s="16" t="s">
        <v>863</v>
      </c>
      <c r="E476" s="16" t="s">
        <v>15</v>
      </c>
      <c r="F476" s="16" t="s">
        <v>19</v>
      </c>
      <c r="G476" s="6">
        <v>80000</v>
      </c>
      <c r="H476" s="15"/>
      <c r="L476" s="6">
        <f>Table946[[#This Row],[Harga Satuan]]*Table946[[#This Row],[Stock Akhir]]</f>
        <v>0</v>
      </c>
    </row>
    <row r="477" spans="1:12" x14ac:dyDescent="0.25">
      <c r="A477" s="15" cm="1">
        <f t="array" ref="A477">ROW()-ROW(Table946[#Headers])</f>
        <v>472</v>
      </c>
      <c r="B477" s="16" t="s">
        <v>570</v>
      </c>
      <c r="C477" s="16" t="s">
        <v>864</v>
      </c>
      <c r="D477" s="16" t="s">
        <v>865</v>
      </c>
      <c r="E477" s="16" t="s">
        <v>15</v>
      </c>
      <c r="F477" s="16" t="s">
        <v>19</v>
      </c>
      <c r="G477" s="6">
        <v>1350000</v>
      </c>
      <c r="H477" s="15"/>
      <c r="L477" s="6">
        <f>Table946[[#This Row],[Harga Satuan]]*Table946[[#This Row],[Stock Akhir]]</f>
        <v>0</v>
      </c>
    </row>
    <row r="478" spans="1:12" x14ac:dyDescent="0.25">
      <c r="A478" s="15" cm="1">
        <f t="array" ref="A478">ROW()-ROW(Table946[#Headers])</f>
        <v>473</v>
      </c>
      <c r="B478" s="16" t="s">
        <v>570</v>
      </c>
      <c r="C478" s="16" t="s">
        <v>866</v>
      </c>
      <c r="D478" s="16" t="s">
        <v>867</v>
      </c>
      <c r="E478" s="16" t="s">
        <v>15</v>
      </c>
      <c r="F478" s="16" t="s">
        <v>19</v>
      </c>
      <c r="G478" s="6">
        <v>70000</v>
      </c>
      <c r="H478" s="15"/>
      <c r="L478" s="6">
        <f>Table946[[#This Row],[Harga Satuan]]*Table946[[#This Row],[Stock Akhir]]</f>
        <v>0</v>
      </c>
    </row>
    <row r="479" spans="1:12" x14ac:dyDescent="0.25">
      <c r="A479" s="15" cm="1">
        <f t="array" ref="A479">ROW()-ROW(Table946[#Headers])</f>
        <v>474</v>
      </c>
      <c r="B479" s="16" t="s">
        <v>570</v>
      </c>
      <c r="C479" s="16" t="s">
        <v>868</v>
      </c>
      <c r="D479" s="16" t="s">
        <v>869</v>
      </c>
      <c r="E479" s="16" t="s">
        <v>15</v>
      </c>
      <c r="F479" s="16" t="s">
        <v>19</v>
      </c>
      <c r="G479" s="6">
        <v>75000</v>
      </c>
      <c r="H479" s="15"/>
      <c r="L479" s="6">
        <f>Table946[[#This Row],[Harga Satuan]]*Table946[[#This Row],[Stock Akhir]]</f>
        <v>0</v>
      </c>
    </row>
    <row r="480" spans="1:12" x14ac:dyDescent="0.25">
      <c r="A480" s="15" cm="1">
        <f t="array" ref="A480">ROW()-ROW(Table946[#Headers])</f>
        <v>475</v>
      </c>
      <c r="B480" s="16" t="s">
        <v>570</v>
      </c>
      <c r="C480" s="16" t="s">
        <v>870</v>
      </c>
      <c r="D480" s="16" t="s">
        <v>871</v>
      </c>
      <c r="E480" s="16" t="s">
        <v>15</v>
      </c>
      <c r="F480" s="16" t="s">
        <v>30</v>
      </c>
      <c r="G480" s="6">
        <v>0</v>
      </c>
      <c r="H480" s="15"/>
      <c r="L480" s="6">
        <f>Table946[[#This Row],[Harga Satuan]]*Table946[[#This Row],[Stock Akhir]]</f>
        <v>0</v>
      </c>
    </row>
    <row r="481" spans="1:12" x14ac:dyDescent="0.25">
      <c r="A481" s="15" cm="1">
        <f t="array" ref="A481">ROW()-ROW(Table946[#Headers])</f>
        <v>476</v>
      </c>
      <c r="B481" s="16" t="s">
        <v>570</v>
      </c>
      <c r="C481" s="16" t="s">
        <v>872</v>
      </c>
      <c r="D481" s="16" t="s">
        <v>873</v>
      </c>
      <c r="E481" s="16" t="s">
        <v>15</v>
      </c>
      <c r="F481" s="16" t="s">
        <v>19</v>
      </c>
      <c r="G481" s="6">
        <v>46000</v>
      </c>
      <c r="H481" s="15"/>
      <c r="L481" s="6">
        <f>Table946[[#This Row],[Harga Satuan]]*Table946[[#This Row],[Stock Akhir]]</f>
        <v>0</v>
      </c>
    </row>
    <row r="482" spans="1:12" x14ac:dyDescent="0.25">
      <c r="A482" s="15" cm="1">
        <f t="array" ref="A482">ROW()-ROW(Table946[#Headers])</f>
        <v>477</v>
      </c>
      <c r="B482" s="16" t="s">
        <v>570</v>
      </c>
      <c r="C482" s="16" t="s">
        <v>874</v>
      </c>
      <c r="D482" s="16" t="s">
        <v>875</v>
      </c>
      <c r="E482" s="16" t="s">
        <v>15</v>
      </c>
      <c r="F482" s="16" t="s">
        <v>19</v>
      </c>
      <c r="G482" s="6">
        <v>525000</v>
      </c>
      <c r="H482" s="15"/>
      <c r="L482" s="6">
        <f>Table946[[#This Row],[Harga Satuan]]*Table946[[#This Row],[Stock Akhir]]</f>
        <v>0</v>
      </c>
    </row>
    <row r="483" spans="1:12" x14ac:dyDescent="0.25">
      <c r="A483" s="15" cm="1">
        <f t="array" ref="A483">ROW()-ROW(Table946[#Headers])</f>
        <v>478</v>
      </c>
      <c r="B483" s="16" t="s">
        <v>570</v>
      </c>
      <c r="C483" s="16" t="s">
        <v>876</v>
      </c>
      <c r="D483" s="16" t="s">
        <v>877</v>
      </c>
      <c r="E483" s="16" t="s">
        <v>15</v>
      </c>
      <c r="F483" s="16" t="s">
        <v>19</v>
      </c>
      <c r="G483" s="6">
        <v>27027</v>
      </c>
      <c r="H483" s="15"/>
      <c r="L483" s="6">
        <f>Table946[[#This Row],[Harga Satuan]]*Table946[[#This Row],[Stock Akhir]]</f>
        <v>0</v>
      </c>
    </row>
    <row r="484" spans="1:12" x14ac:dyDescent="0.25">
      <c r="A484" s="15" cm="1">
        <f t="array" ref="A484">ROW()-ROW(Table946[#Headers])</f>
        <v>479</v>
      </c>
      <c r="B484" s="16" t="s">
        <v>570</v>
      </c>
      <c r="C484" s="16" t="s">
        <v>878</v>
      </c>
      <c r="D484" s="16" t="s">
        <v>879</v>
      </c>
      <c r="E484" s="16" t="s">
        <v>15</v>
      </c>
      <c r="F484" s="16" t="s">
        <v>19</v>
      </c>
      <c r="G484" s="6">
        <v>0</v>
      </c>
      <c r="H484" s="15"/>
      <c r="L484" s="6">
        <f>Table946[[#This Row],[Harga Satuan]]*Table946[[#This Row],[Stock Akhir]]</f>
        <v>0</v>
      </c>
    </row>
    <row r="485" spans="1:12" x14ac:dyDescent="0.25">
      <c r="A485" s="15" cm="1">
        <f t="array" ref="A485">ROW()-ROW(Table946[#Headers])</f>
        <v>480</v>
      </c>
      <c r="B485" s="16" t="s">
        <v>570</v>
      </c>
      <c r="C485" s="16" t="s">
        <v>880</v>
      </c>
      <c r="D485" s="16" t="s">
        <v>881</v>
      </c>
      <c r="E485" s="16" t="s">
        <v>15</v>
      </c>
      <c r="F485" s="16" t="s">
        <v>19</v>
      </c>
      <c r="G485" s="6">
        <v>67567.570000000007</v>
      </c>
      <c r="H485" s="15"/>
      <c r="L485" s="6">
        <f>Table946[[#This Row],[Harga Satuan]]*Table946[[#This Row],[Stock Akhir]]</f>
        <v>0</v>
      </c>
    </row>
    <row r="486" spans="1:12" x14ac:dyDescent="0.25">
      <c r="A486" s="15" cm="1">
        <f t="array" ref="A486">ROW()-ROW(Table946[#Headers])</f>
        <v>481</v>
      </c>
      <c r="B486" s="16" t="s">
        <v>570</v>
      </c>
      <c r="C486" s="16" t="s">
        <v>882</v>
      </c>
      <c r="D486" s="16" t="s">
        <v>883</v>
      </c>
      <c r="E486" s="16" t="s">
        <v>15</v>
      </c>
      <c r="F486" s="16" t="s">
        <v>26</v>
      </c>
      <c r="G486" s="6">
        <v>1700000</v>
      </c>
      <c r="H486" s="15"/>
      <c r="L486" s="6">
        <f>Table946[[#This Row],[Harga Satuan]]*Table946[[#This Row],[Stock Akhir]]</f>
        <v>0</v>
      </c>
    </row>
    <row r="487" spans="1:12" x14ac:dyDescent="0.25">
      <c r="A487" s="15" cm="1">
        <f t="array" ref="A487">ROW()-ROW(Table946[#Headers])</f>
        <v>482</v>
      </c>
      <c r="B487" s="16" t="s">
        <v>570</v>
      </c>
      <c r="C487" s="16" t="s">
        <v>884</v>
      </c>
      <c r="D487" s="16" t="s">
        <v>885</v>
      </c>
      <c r="E487" s="16" t="s">
        <v>15</v>
      </c>
      <c r="F487" s="16" t="s">
        <v>19</v>
      </c>
      <c r="G487" s="6">
        <v>315000</v>
      </c>
      <c r="H487" s="15"/>
      <c r="L487" s="6">
        <f>Table946[[#This Row],[Harga Satuan]]*Table946[[#This Row],[Stock Akhir]]</f>
        <v>0</v>
      </c>
    </row>
    <row r="488" spans="1:12" x14ac:dyDescent="0.25">
      <c r="A488" s="15" cm="1">
        <f t="array" ref="A488">ROW()-ROW(Table946[#Headers])</f>
        <v>483</v>
      </c>
      <c r="B488" s="16" t="s">
        <v>570</v>
      </c>
      <c r="C488" s="16" t="s">
        <v>886</v>
      </c>
      <c r="D488" s="16" t="s">
        <v>887</v>
      </c>
      <c r="E488" s="16" t="s">
        <v>15</v>
      </c>
      <c r="F488" s="16" t="s">
        <v>19</v>
      </c>
      <c r="G488" s="6">
        <v>325000</v>
      </c>
      <c r="H488" s="15"/>
      <c r="L488" s="6">
        <f>Table946[[#This Row],[Harga Satuan]]*Table946[[#This Row],[Stock Akhir]]</f>
        <v>0</v>
      </c>
    </row>
    <row r="489" spans="1:12" x14ac:dyDescent="0.25">
      <c r="A489" s="15" cm="1">
        <f t="array" ref="A489">ROW()-ROW(Table946[#Headers])</f>
        <v>484</v>
      </c>
      <c r="B489" s="16" t="s">
        <v>570</v>
      </c>
      <c r="C489" s="16" t="s">
        <v>888</v>
      </c>
      <c r="D489" s="16" t="s">
        <v>889</v>
      </c>
      <c r="E489" s="16" t="s">
        <v>15</v>
      </c>
      <c r="F489" s="16" t="s">
        <v>26</v>
      </c>
      <c r="G489" s="6">
        <v>51600</v>
      </c>
      <c r="H489" s="15"/>
      <c r="L489" s="6">
        <f>Table946[[#This Row],[Harga Satuan]]*Table946[[#This Row],[Stock Akhir]]</f>
        <v>0</v>
      </c>
    </row>
    <row r="490" spans="1:12" hidden="1" x14ac:dyDescent="0.25">
      <c r="A490" s="5" cm="1">
        <f t="array" ref="A490">ROW()-ROW(Table946[#Headers])</f>
        <v>485</v>
      </c>
      <c r="B490" s="4" t="s">
        <v>570</v>
      </c>
      <c r="D490" s="4" t="s">
        <v>890</v>
      </c>
      <c r="E490" s="4" t="s">
        <v>15</v>
      </c>
      <c r="F490" s="4" t="s">
        <v>26</v>
      </c>
      <c r="G490" s="6">
        <v>9150</v>
      </c>
      <c r="L490" s="6">
        <f>Table946[[#This Row],[Harga Satuan]]*Table946[[#This Row],[Stock Akhir]]</f>
        <v>0</v>
      </c>
    </row>
    <row r="491" spans="1:12" x14ac:dyDescent="0.25">
      <c r="A491" s="15" cm="1">
        <f t="array" ref="A491">ROW()-ROW(Table946[#Headers])</f>
        <v>486</v>
      </c>
      <c r="B491" s="16" t="s">
        <v>570</v>
      </c>
      <c r="C491" s="16" t="s">
        <v>891</v>
      </c>
      <c r="D491" s="16" t="s">
        <v>892</v>
      </c>
      <c r="E491" s="16" t="s">
        <v>15</v>
      </c>
      <c r="F491" s="16" t="s">
        <v>26</v>
      </c>
      <c r="G491" s="6">
        <v>0</v>
      </c>
      <c r="H491" s="15"/>
      <c r="L491" s="6">
        <f>Table946[[#This Row],[Harga Satuan]]*Table946[[#This Row],[Stock Akhir]]</f>
        <v>0</v>
      </c>
    </row>
    <row r="492" spans="1:12" x14ac:dyDescent="0.25">
      <c r="A492" s="15" cm="1">
        <f t="array" ref="A492">ROW()-ROW(Table946[#Headers])</f>
        <v>487</v>
      </c>
      <c r="B492" s="16" t="s">
        <v>570</v>
      </c>
      <c r="C492" s="16" t="s">
        <v>893</v>
      </c>
      <c r="D492" s="16" t="s">
        <v>894</v>
      </c>
      <c r="E492" s="16" t="s">
        <v>15</v>
      </c>
      <c r="F492" s="16" t="s">
        <v>26</v>
      </c>
      <c r="G492" s="6">
        <v>0</v>
      </c>
      <c r="H492" s="15"/>
      <c r="L492" s="6">
        <f>Table946[[#This Row],[Harga Satuan]]*Table946[[#This Row],[Stock Akhir]]</f>
        <v>0</v>
      </c>
    </row>
    <row r="493" spans="1:12" x14ac:dyDescent="0.25">
      <c r="A493" s="15" cm="1">
        <f t="array" ref="A493">ROW()-ROW(Table946[#Headers])</f>
        <v>488</v>
      </c>
      <c r="B493" s="16" t="s">
        <v>570</v>
      </c>
      <c r="C493" s="16" t="s">
        <v>895</v>
      </c>
      <c r="D493" s="16" t="s">
        <v>896</v>
      </c>
      <c r="E493" s="16" t="s">
        <v>15</v>
      </c>
      <c r="F493" s="16" t="s">
        <v>26</v>
      </c>
      <c r="G493" s="6">
        <v>0</v>
      </c>
      <c r="H493" s="15"/>
      <c r="L493" s="6">
        <f>Table946[[#This Row],[Harga Satuan]]*Table946[[#This Row],[Stock Akhir]]</f>
        <v>0</v>
      </c>
    </row>
    <row r="494" spans="1:12" x14ac:dyDescent="0.25">
      <c r="A494" s="15" cm="1">
        <f t="array" ref="A494">ROW()-ROW(Table946[#Headers])</f>
        <v>489</v>
      </c>
      <c r="B494" s="16" t="s">
        <v>570</v>
      </c>
      <c r="C494" s="16" t="s">
        <v>897</v>
      </c>
      <c r="D494" s="16" t="s">
        <v>898</v>
      </c>
      <c r="E494" s="16" t="s">
        <v>15</v>
      </c>
      <c r="F494" s="16" t="s">
        <v>26</v>
      </c>
      <c r="G494" s="6">
        <v>194505</v>
      </c>
      <c r="H494" s="15"/>
      <c r="L494" s="6">
        <f>Table946[[#This Row],[Harga Satuan]]*Table946[[#This Row],[Stock Akhir]]</f>
        <v>0</v>
      </c>
    </row>
    <row r="495" spans="1:12" x14ac:dyDescent="0.25">
      <c r="A495" s="15" cm="1">
        <f t="array" ref="A495">ROW()-ROW(Table946[#Headers])</f>
        <v>490</v>
      </c>
      <c r="B495" s="16" t="s">
        <v>570</v>
      </c>
      <c r="C495" s="16" t="s">
        <v>899</v>
      </c>
      <c r="D495" s="16" t="s">
        <v>900</v>
      </c>
      <c r="E495" s="16" t="s">
        <v>15</v>
      </c>
      <c r="F495" s="16" t="s">
        <v>26</v>
      </c>
      <c r="G495" s="6">
        <v>0</v>
      </c>
      <c r="H495" s="15"/>
      <c r="L495" s="6">
        <f>Table946[[#This Row],[Harga Satuan]]*Table946[[#This Row],[Stock Akhir]]</f>
        <v>0</v>
      </c>
    </row>
    <row r="496" spans="1:12" x14ac:dyDescent="0.25">
      <c r="A496" s="15" cm="1">
        <f t="array" ref="A496">ROW()-ROW(Table946[#Headers])</f>
        <v>491</v>
      </c>
      <c r="B496" s="16" t="s">
        <v>570</v>
      </c>
      <c r="C496" s="16" t="s">
        <v>901</v>
      </c>
      <c r="D496" s="16" t="s">
        <v>902</v>
      </c>
      <c r="E496" s="16" t="s">
        <v>15</v>
      </c>
      <c r="F496" s="16" t="s">
        <v>26</v>
      </c>
      <c r="G496" s="6">
        <v>108720</v>
      </c>
      <c r="H496" s="15"/>
      <c r="L496" s="6">
        <f>Table946[[#This Row],[Harga Satuan]]*Table946[[#This Row],[Stock Akhir]]</f>
        <v>0</v>
      </c>
    </row>
    <row r="497" spans="1:12" x14ac:dyDescent="0.25">
      <c r="A497" s="15" cm="1">
        <f t="array" ref="A497">ROW()-ROW(Table946[#Headers])</f>
        <v>492</v>
      </c>
      <c r="B497" s="16" t="s">
        <v>570</v>
      </c>
      <c r="C497" s="16" t="s">
        <v>903</v>
      </c>
      <c r="D497" s="16" t="s">
        <v>904</v>
      </c>
      <c r="E497" s="16" t="s">
        <v>15</v>
      </c>
      <c r="F497" s="16" t="s">
        <v>26</v>
      </c>
      <c r="G497" s="6">
        <v>162900</v>
      </c>
      <c r="H497" s="15"/>
      <c r="L497" s="6">
        <f>Table946[[#This Row],[Harga Satuan]]*Table946[[#This Row],[Stock Akhir]]</f>
        <v>0</v>
      </c>
    </row>
    <row r="498" spans="1:12" x14ac:dyDescent="0.25">
      <c r="A498" s="15" cm="1">
        <f t="array" ref="A498">ROW()-ROW(Table946[#Headers])</f>
        <v>493</v>
      </c>
      <c r="B498" s="16" t="s">
        <v>570</v>
      </c>
      <c r="C498" s="16" t="s">
        <v>905</v>
      </c>
      <c r="D498" s="16" t="s">
        <v>906</v>
      </c>
      <c r="E498" s="16" t="s">
        <v>15</v>
      </c>
      <c r="F498" s="16" t="s">
        <v>26</v>
      </c>
      <c r="G498" s="6">
        <v>162900</v>
      </c>
      <c r="H498" s="15"/>
      <c r="L498" s="6">
        <f>Table946[[#This Row],[Harga Satuan]]*Table946[[#This Row],[Stock Akhir]]</f>
        <v>0</v>
      </c>
    </row>
    <row r="499" spans="1:12" x14ac:dyDescent="0.25">
      <c r="A499" s="15" cm="1">
        <f t="array" ref="A499">ROW()-ROW(Table946[#Headers])</f>
        <v>494</v>
      </c>
      <c r="B499" s="16" t="s">
        <v>570</v>
      </c>
      <c r="C499" s="16" t="s">
        <v>907</v>
      </c>
      <c r="D499" s="16" t="s">
        <v>908</v>
      </c>
      <c r="E499" s="16" t="s">
        <v>15</v>
      </c>
      <c r="F499" s="16" t="s">
        <v>26</v>
      </c>
      <c r="G499" s="6">
        <v>100935</v>
      </c>
      <c r="H499" s="15"/>
      <c r="L499" s="6">
        <f>Table946[[#This Row],[Harga Satuan]]*Table946[[#This Row],[Stock Akhir]]</f>
        <v>0</v>
      </c>
    </row>
    <row r="500" spans="1:12" x14ac:dyDescent="0.25">
      <c r="A500" s="15" cm="1">
        <f t="array" ref="A500">ROW()-ROW(Table946[#Headers])</f>
        <v>495</v>
      </c>
      <c r="B500" s="16" t="s">
        <v>570</v>
      </c>
      <c r="C500" s="16" t="s">
        <v>909</v>
      </c>
      <c r="D500" s="16" t="s">
        <v>910</v>
      </c>
      <c r="E500" s="16" t="s">
        <v>15</v>
      </c>
      <c r="F500" s="16" t="s">
        <v>26</v>
      </c>
      <c r="G500" s="6">
        <v>100935</v>
      </c>
      <c r="H500" s="15"/>
      <c r="L500" s="6">
        <f>Table946[[#This Row],[Harga Satuan]]*Table946[[#This Row],[Stock Akhir]]</f>
        <v>0</v>
      </c>
    </row>
    <row r="501" spans="1:12" x14ac:dyDescent="0.25">
      <c r="A501" s="15" cm="1">
        <f t="array" ref="A501">ROW()-ROW(Table946[#Headers])</f>
        <v>496</v>
      </c>
      <c r="B501" s="16" t="s">
        <v>570</v>
      </c>
      <c r="C501" s="16" t="s">
        <v>911</v>
      </c>
      <c r="D501" s="16" t="s">
        <v>912</v>
      </c>
      <c r="E501" s="16" t="s">
        <v>15</v>
      </c>
      <c r="F501" s="16" t="s">
        <v>26</v>
      </c>
      <c r="G501" s="6">
        <v>194600</v>
      </c>
      <c r="H501" s="15"/>
      <c r="L501" s="6">
        <f>Table946[[#This Row],[Harga Satuan]]*Table946[[#This Row],[Stock Akhir]]</f>
        <v>0</v>
      </c>
    </row>
    <row r="502" spans="1:12" x14ac:dyDescent="0.25">
      <c r="A502" s="15" cm="1">
        <f t="array" ref="A502">ROW()-ROW(Table946[#Headers])</f>
        <v>497</v>
      </c>
      <c r="B502" s="16" t="s">
        <v>570</v>
      </c>
      <c r="C502" s="16" t="s">
        <v>913</v>
      </c>
      <c r="D502" s="16" t="s">
        <v>914</v>
      </c>
      <c r="E502" s="16" t="s">
        <v>15</v>
      </c>
      <c r="F502" s="16" t="s">
        <v>26</v>
      </c>
      <c r="G502" s="6">
        <v>113600</v>
      </c>
      <c r="H502" s="15"/>
      <c r="L502" s="6">
        <f>Table946[[#This Row],[Harga Satuan]]*Table946[[#This Row],[Stock Akhir]]</f>
        <v>0</v>
      </c>
    </row>
    <row r="503" spans="1:12" x14ac:dyDescent="0.25">
      <c r="A503" s="15" cm="1">
        <f t="array" ref="A503">ROW()-ROW(Table946[#Headers])</f>
        <v>498</v>
      </c>
      <c r="B503" s="16" t="s">
        <v>570</v>
      </c>
      <c r="C503" s="16" t="s">
        <v>915</v>
      </c>
      <c r="D503" s="16" t="s">
        <v>916</v>
      </c>
      <c r="E503" s="16" t="s">
        <v>15</v>
      </c>
      <c r="F503" s="16" t="s">
        <v>26</v>
      </c>
      <c r="G503" s="6">
        <v>105000</v>
      </c>
      <c r="H503" s="15"/>
      <c r="L503" s="6">
        <f>Table946[[#This Row],[Harga Satuan]]*Table946[[#This Row],[Stock Akhir]]</f>
        <v>0</v>
      </c>
    </row>
    <row r="504" spans="1:12" x14ac:dyDescent="0.25">
      <c r="A504" s="15" cm="1">
        <f t="array" ref="A504">ROW()-ROW(Table946[#Headers])</f>
        <v>499</v>
      </c>
      <c r="B504" s="16" t="s">
        <v>570</v>
      </c>
      <c r="C504" s="16" t="s">
        <v>917</v>
      </c>
      <c r="D504" s="16" t="s">
        <v>918</v>
      </c>
      <c r="E504" s="16" t="s">
        <v>15</v>
      </c>
      <c r="F504" s="16" t="s">
        <v>26</v>
      </c>
      <c r="G504" s="6">
        <v>189750</v>
      </c>
      <c r="H504" s="15"/>
      <c r="L504" s="6">
        <f>Table946[[#This Row],[Harga Satuan]]*Table946[[#This Row],[Stock Akhir]]</f>
        <v>0</v>
      </c>
    </row>
    <row r="505" spans="1:12" x14ac:dyDescent="0.25">
      <c r="A505" s="15" cm="1">
        <f t="array" ref="A505">ROW()-ROW(Table946[#Headers])</f>
        <v>500</v>
      </c>
      <c r="B505" s="16" t="s">
        <v>570</v>
      </c>
      <c r="C505" s="16" t="s">
        <v>919</v>
      </c>
      <c r="D505" s="16" t="s">
        <v>920</v>
      </c>
      <c r="E505" s="16" t="s">
        <v>15</v>
      </c>
      <c r="F505" s="16" t="s">
        <v>26</v>
      </c>
      <c r="G505" s="6">
        <v>113500</v>
      </c>
      <c r="H505" s="15"/>
      <c r="L505" s="6">
        <f>Table946[[#This Row],[Harga Satuan]]*Table946[[#This Row],[Stock Akhir]]</f>
        <v>0</v>
      </c>
    </row>
    <row r="506" spans="1:12" hidden="1" x14ac:dyDescent="0.25">
      <c r="A506" s="5" cm="1">
        <f t="array" ref="A506">ROW()-ROW(Table946[#Headers])</f>
        <v>501</v>
      </c>
      <c r="B506" s="4" t="s">
        <v>570</v>
      </c>
      <c r="D506" s="4" t="s">
        <v>921</v>
      </c>
      <c r="E506" s="4" t="s">
        <v>15</v>
      </c>
      <c r="F506" s="4" t="s">
        <v>26</v>
      </c>
      <c r="G506" s="6">
        <v>135200</v>
      </c>
      <c r="L506" s="6">
        <f>Table946[[#This Row],[Harga Satuan]]*Table946[[#This Row],[Stock Akhir]]</f>
        <v>0</v>
      </c>
    </row>
    <row r="507" spans="1:12" hidden="1" x14ac:dyDescent="0.25">
      <c r="A507" s="5" cm="1">
        <f t="array" ref="A507">ROW()-ROW(Table946[#Headers])</f>
        <v>502</v>
      </c>
      <c r="B507" s="4" t="s">
        <v>570</v>
      </c>
      <c r="D507" s="4" t="s">
        <v>922</v>
      </c>
      <c r="E507" s="4" t="s">
        <v>15</v>
      </c>
      <c r="F507" s="4" t="s">
        <v>26</v>
      </c>
      <c r="G507" s="6">
        <v>178900</v>
      </c>
      <c r="L507" s="6">
        <f>Table946[[#This Row],[Harga Satuan]]*Table946[[#This Row],[Stock Akhir]]</f>
        <v>0</v>
      </c>
    </row>
    <row r="508" spans="1:12" hidden="1" x14ac:dyDescent="0.25">
      <c r="A508" s="5" cm="1">
        <f t="array" ref="A508">ROW()-ROW(Table946[#Headers])</f>
        <v>503</v>
      </c>
      <c r="B508" s="4" t="s">
        <v>570</v>
      </c>
      <c r="D508" s="4" t="s">
        <v>923</v>
      </c>
      <c r="E508" s="4" t="s">
        <v>15</v>
      </c>
      <c r="F508" s="4" t="s">
        <v>26</v>
      </c>
      <c r="G508" s="6">
        <v>171000</v>
      </c>
      <c r="L508" s="6">
        <f>Table946[[#This Row],[Harga Satuan]]*Table946[[#This Row],[Stock Akhir]]</f>
        <v>0</v>
      </c>
    </row>
    <row r="509" spans="1:12" x14ac:dyDescent="0.25">
      <c r="A509" s="15" cm="1">
        <f t="array" ref="A509">ROW()-ROW(Table946[#Headers])</f>
        <v>504</v>
      </c>
      <c r="B509" s="16" t="s">
        <v>570</v>
      </c>
      <c r="C509" s="16" t="s">
        <v>924</v>
      </c>
      <c r="D509" s="16" t="s">
        <v>925</v>
      </c>
      <c r="E509" s="16" t="s">
        <v>15</v>
      </c>
      <c r="F509" s="16" t="s">
        <v>26</v>
      </c>
      <c r="G509" s="6">
        <v>51600</v>
      </c>
      <c r="H509" s="15"/>
      <c r="L509" s="6">
        <f>Table946[[#This Row],[Harga Satuan]]*Table946[[#This Row],[Stock Akhir]]</f>
        <v>0</v>
      </c>
    </row>
    <row r="510" spans="1:12" x14ac:dyDescent="0.25">
      <c r="A510" s="15" cm="1">
        <f t="array" ref="A510">ROW()-ROW(Table946[#Headers])</f>
        <v>505</v>
      </c>
      <c r="B510" s="16" t="s">
        <v>570</v>
      </c>
      <c r="C510" s="16" t="s">
        <v>926</v>
      </c>
      <c r="D510" s="16" t="s">
        <v>927</v>
      </c>
      <c r="E510" s="16" t="s">
        <v>15</v>
      </c>
      <c r="F510" s="16" t="s">
        <v>26</v>
      </c>
      <c r="G510" s="6">
        <v>18300</v>
      </c>
      <c r="H510" s="15"/>
      <c r="L510" s="6">
        <f>Table946[[#This Row],[Harga Satuan]]*Table946[[#This Row],[Stock Akhir]]</f>
        <v>0</v>
      </c>
    </row>
    <row r="511" spans="1:12" x14ac:dyDescent="0.25">
      <c r="A511" s="15" cm="1">
        <f t="array" ref="A511">ROW()-ROW(Table946[#Headers])</f>
        <v>506</v>
      </c>
      <c r="B511" s="16" t="s">
        <v>570</v>
      </c>
      <c r="C511" s="16" t="s">
        <v>928</v>
      </c>
      <c r="D511" s="16" t="s">
        <v>929</v>
      </c>
      <c r="E511" s="16" t="s">
        <v>15</v>
      </c>
      <c r="F511" s="16" t="s">
        <v>26</v>
      </c>
      <c r="G511" s="6">
        <v>18300</v>
      </c>
      <c r="H511" s="15"/>
      <c r="L511" s="6">
        <f>Table946[[#This Row],[Harga Satuan]]*Table946[[#This Row],[Stock Akhir]]</f>
        <v>0</v>
      </c>
    </row>
    <row r="512" spans="1:12" x14ac:dyDescent="0.25">
      <c r="A512" s="15" cm="1">
        <f t="array" ref="A512">ROW()-ROW(Table946[#Headers])</f>
        <v>507</v>
      </c>
      <c r="B512" s="16" t="s">
        <v>570</v>
      </c>
      <c r="C512" s="16" t="s">
        <v>930</v>
      </c>
      <c r="D512" s="16" t="s">
        <v>931</v>
      </c>
      <c r="E512" s="16" t="s">
        <v>15</v>
      </c>
      <c r="F512" s="16" t="s">
        <v>26</v>
      </c>
      <c r="G512" s="6">
        <v>36700</v>
      </c>
      <c r="H512" s="15"/>
      <c r="L512" s="6">
        <f>Table946[[#This Row],[Harga Satuan]]*Table946[[#This Row],[Stock Akhir]]</f>
        <v>0</v>
      </c>
    </row>
    <row r="513" spans="1:12" x14ac:dyDescent="0.25">
      <c r="A513" s="15" cm="1">
        <f t="array" ref="A513">ROW()-ROW(Table946[#Headers])</f>
        <v>508</v>
      </c>
      <c r="B513" s="16" t="s">
        <v>570</v>
      </c>
      <c r="C513" s="16" t="s">
        <v>932</v>
      </c>
      <c r="D513" s="16" t="s">
        <v>933</v>
      </c>
      <c r="E513" s="16" t="s">
        <v>15</v>
      </c>
      <c r="F513" s="16" t="s">
        <v>26</v>
      </c>
      <c r="G513" s="6">
        <v>45900</v>
      </c>
      <c r="H513" s="15"/>
      <c r="L513" s="6">
        <f>Table946[[#This Row],[Harga Satuan]]*Table946[[#This Row],[Stock Akhir]]</f>
        <v>0</v>
      </c>
    </row>
    <row r="514" spans="1:12" x14ac:dyDescent="0.25">
      <c r="A514" s="15" cm="1">
        <f t="array" ref="A514">ROW()-ROW(Table946[#Headers])</f>
        <v>509</v>
      </c>
      <c r="B514" s="16" t="s">
        <v>570</v>
      </c>
      <c r="C514" s="16" t="s">
        <v>934</v>
      </c>
      <c r="D514" s="16" t="s">
        <v>935</v>
      </c>
      <c r="E514" s="16" t="s">
        <v>15</v>
      </c>
      <c r="F514" s="16" t="s">
        <v>26</v>
      </c>
      <c r="G514" s="6">
        <v>32200</v>
      </c>
      <c r="H514" s="15"/>
      <c r="L514" s="6">
        <f>Table946[[#This Row],[Harga Satuan]]*Table946[[#This Row],[Stock Akhir]]</f>
        <v>0</v>
      </c>
    </row>
    <row r="515" spans="1:12" x14ac:dyDescent="0.25">
      <c r="A515" s="15" cm="1">
        <f t="array" ref="A515">ROW()-ROW(Table946[#Headers])</f>
        <v>510</v>
      </c>
      <c r="B515" s="16" t="s">
        <v>570</v>
      </c>
      <c r="C515" s="16" t="s">
        <v>936</v>
      </c>
      <c r="D515" s="16" t="s">
        <v>937</v>
      </c>
      <c r="E515" s="16" t="s">
        <v>15</v>
      </c>
      <c r="F515" s="16" t="s">
        <v>26</v>
      </c>
      <c r="G515" s="6">
        <v>73200</v>
      </c>
      <c r="H515" s="15"/>
      <c r="L515" s="6">
        <f>Table946[[#This Row],[Harga Satuan]]*Table946[[#This Row],[Stock Akhir]]</f>
        <v>0</v>
      </c>
    </row>
    <row r="516" spans="1:12" x14ac:dyDescent="0.25">
      <c r="A516" s="15" cm="1">
        <f t="array" ref="A516">ROW()-ROW(Table946[#Headers])</f>
        <v>511</v>
      </c>
      <c r="B516" s="16" t="s">
        <v>570</v>
      </c>
      <c r="C516" s="16" t="s">
        <v>938</v>
      </c>
      <c r="D516" s="16" t="s">
        <v>939</v>
      </c>
      <c r="E516" s="16" t="s">
        <v>15</v>
      </c>
      <c r="F516" s="16" t="s">
        <v>26</v>
      </c>
      <c r="G516" s="6">
        <v>32300</v>
      </c>
      <c r="H516" s="15"/>
      <c r="L516" s="6">
        <f>Table946[[#This Row],[Harga Satuan]]*Table946[[#This Row],[Stock Akhir]]</f>
        <v>0</v>
      </c>
    </row>
    <row r="517" spans="1:12" x14ac:dyDescent="0.25">
      <c r="A517" s="15" cm="1">
        <f t="array" ref="A517">ROW()-ROW(Table946[#Headers])</f>
        <v>512</v>
      </c>
      <c r="B517" s="16" t="s">
        <v>570</v>
      </c>
      <c r="C517" s="16" t="s">
        <v>940</v>
      </c>
      <c r="D517" s="16" t="s">
        <v>941</v>
      </c>
      <c r="E517" s="16" t="s">
        <v>15</v>
      </c>
      <c r="F517" s="16" t="s">
        <v>26</v>
      </c>
      <c r="G517" s="6">
        <v>9500</v>
      </c>
      <c r="H517" s="15"/>
      <c r="L517" s="6">
        <f>Table946[[#This Row],[Harga Satuan]]*Table946[[#This Row],[Stock Akhir]]</f>
        <v>0</v>
      </c>
    </row>
    <row r="518" spans="1:12" x14ac:dyDescent="0.25">
      <c r="A518" s="15" cm="1">
        <f t="array" ref="A518">ROW()-ROW(Table946[#Headers])</f>
        <v>513</v>
      </c>
      <c r="B518" s="16" t="s">
        <v>570</v>
      </c>
      <c r="C518" s="16" t="s">
        <v>942</v>
      </c>
      <c r="D518" s="16" t="s">
        <v>943</v>
      </c>
      <c r="E518" s="16" t="s">
        <v>15</v>
      </c>
      <c r="F518" s="16" t="s">
        <v>26</v>
      </c>
      <c r="G518" s="6">
        <v>73200</v>
      </c>
      <c r="H518" s="15"/>
      <c r="L518" s="6">
        <f>Table946[[#This Row],[Harga Satuan]]*Table946[[#This Row],[Stock Akhir]]</f>
        <v>0</v>
      </c>
    </row>
    <row r="519" spans="1:12" x14ac:dyDescent="0.25">
      <c r="A519" s="15" cm="1">
        <f t="array" ref="A519">ROW()-ROW(Table946[#Headers])</f>
        <v>514</v>
      </c>
      <c r="B519" s="16" t="s">
        <v>570</v>
      </c>
      <c r="C519" s="16" t="s">
        <v>944</v>
      </c>
      <c r="D519" s="16" t="s">
        <v>945</v>
      </c>
      <c r="E519" s="16" t="s">
        <v>15</v>
      </c>
      <c r="F519" s="16" t="s">
        <v>26</v>
      </c>
      <c r="G519" s="6">
        <v>142500</v>
      </c>
      <c r="H519" s="15"/>
      <c r="L519" s="6">
        <f>Table946[[#This Row],[Harga Satuan]]*Table946[[#This Row],[Stock Akhir]]</f>
        <v>0</v>
      </c>
    </row>
    <row r="520" spans="1:12" hidden="1" x14ac:dyDescent="0.25">
      <c r="A520" s="5" cm="1">
        <f t="array" ref="A520">ROW()-ROW(Table946[#Headers])</f>
        <v>515</v>
      </c>
      <c r="B520" s="4" t="s">
        <v>570</v>
      </c>
      <c r="D520" s="4" t="s">
        <v>946</v>
      </c>
      <c r="E520" s="4" t="s">
        <v>15</v>
      </c>
      <c r="F520" s="4" t="s">
        <v>26</v>
      </c>
      <c r="G520" s="6">
        <v>27500</v>
      </c>
      <c r="L520" s="6">
        <f>Table946[[#This Row],[Harga Satuan]]*Table946[[#This Row],[Stock Akhir]]</f>
        <v>0</v>
      </c>
    </row>
    <row r="521" spans="1:12" hidden="1" x14ac:dyDescent="0.25">
      <c r="A521" s="5" cm="1">
        <f t="array" ref="A521">ROW()-ROW(Table946[#Headers])</f>
        <v>516</v>
      </c>
      <c r="B521" s="4" t="s">
        <v>570</v>
      </c>
      <c r="D521" s="4" t="s">
        <v>947</v>
      </c>
      <c r="E521" s="4" t="s">
        <v>15</v>
      </c>
      <c r="F521" s="4" t="s">
        <v>26</v>
      </c>
      <c r="G521" s="6">
        <v>41200</v>
      </c>
      <c r="L521" s="6">
        <f>Table946[[#This Row],[Harga Satuan]]*Table946[[#This Row],[Stock Akhir]]</f>
        <v>0</v>
      </c>
    </row>
    <row r="522" spans="1:12" hidden="1" x14ac:dyDescent="0.25">
      <c r="A522" s="5" cm="1">
        <f t="array" ref="A522">ROW()-ROW(Table946[#Headers])</f>
        <v>517</v>
      </c>
      <c r="B522" s="4" t="s">
        <v>570</v>
      </c>
      <c r="D522" s="4" t="s">
        <v>948</v>
      </c>
      <c r="E522" s="4" t="s">
        <v>15</v>
      </c>
      <c r="F522" s="4" t="s">
        <v>26</v>
      </c>
      <c r="G522" s="6">
        <v>151700</v>
      </c>
      <c r="L522" s="6">
        <f>Table946[[#This Row],[Harga Satuan]]*Table946[[#This Row],[Stock Akhir]]</f>
        <v>0</v>
      </c>
    </row>
    <row r="523" spans="1:12" hidden="1" x14ac:dyDescent="0.25">
      <c r="A523" s="5" cm="1">
        <f t="array" ref="A523">ROW()-ROW(Table946[#Headers])</f>
        <v>518</v>
      </c>
      <c r="B523" s="4" t="s">
        <v>570</v>
      </c>
      <c r="D523" s="4" t="s">
        <v>949</v>
      </c>
      <c r="E523" s="4" t="s">
        <v>15</v>
      </c>
      <c r="F523" s="4" t="s">
        <v>26</v>
      </c>
      <c r="G523" s="6">
        <v>18300</v>
      </c>
      <c r="L523" s="6">
        <f>Table946[[#This Row],[Harga Satuan]]*Table946[[#This Row],[Stock Akhir]]</f>
        <v>0</v>
      </c>
    </row>
    <row r="524" spans="1:12" hidden="1" x14ac:dyDescent="0.25">
      <c r="A524" s="5" cm="1">
        <f t="array" ref="A524">ROW()-ROW(Table946[#Headers])</f>
        <v>519</v>
      </c>
      <c r="B524" s="4" t="s">
        <v>570</v>
      </c>
      <c r="D524" s="4" t="s">
        <v>950</v>
      </c>
      <c r="E524" s="4" t="s">
        <v>15</v>
      </c>
      <c r="F524" s="4" t="s">
        <v>26</v>
      </c>
      <c r="G524" s="6">
        <v>36555</v>
      </c>
      <c r="L524" s="6">
        <f>Table946[[#This Row],[Harga Satuan]]*Table946[[#This Row],[Stock Akhir]]</f>
        <v>0</v>
      </c>
    </row>
    <row r="525" spans="1:12" hidden="1" x14ac:dyDescent="0.25">
      <c r="A525" s="5" cm="1">
        <f t="array" ref="A525">ROW()-ROW(Table946[#Headers])</f>
        <v>520</v>
      </c>
      <c r="B525" s="4" t="s">
        <v>570</v>
      </c>
      <c r="D525" s="4" t="s">
        <v>951</v>
      </c>
      <c r="E525" s="4" t="s">
        <v>15</v>
      </c>
      <c r="F525" s="4" t="s">
        <v>26</v>
      </c>
      <c r="G525" s="6">
        <v>73110</v>
      </c>
      <c r="L525" s="6">
        <f>Table946[[#This Row],[Harga Satuan]]*Table946[[#This Row],[Stock Akhir]]</f>
        <v>0</v>
      </c>
    </row>
    <row r="526" spans="1:12" hidden="1" x14ac:dyDescent="0.25">
      <c r="A526" s="5" cm="1">
        <f t="array" ref="A526">ROW()-ROW(Table946[#Headers])</f>
        <v>521</v>
      </c>
      <c r="B526" s="4" t="s">
        <v>570</v>
      </c>
      <c r="D526" s="4" t="s">
        <v>952</v>
      </c>
      <c r="E526" s="4" t="s">
        <v>15</v>
      </c>
      <c r="F526" s="4" t="s">
        <v>26</v>
      </c>
      <c r="G526" s="6">
        <v>116055</v>
      </c>
      <c r="L526" s="6">
        <f>Table946[[#This Row],[Harga Satuan]]*Table946[[#This Row],[Stock Akhir]]</f>
        <v>0</v>
      </c>
    </row>
    <row r="527" spans="1:12" x14ac:dyDescent="0.25">
      <c r="A527" s="15" cm="1">
        <f t="array" ref="A527">ROW()-ROW(Table946[#Headers])</f>
        <v>522</v>
      </c>
      <c r="B527" s="16" t="s">
        <v>570</v>
      </c>
      <c r="C527" s="16" t="s">
        <v>953</v>
      </c>
      <c r="D527" s="16" t="s">
        <v>954</v>
      </c>
      <c r="E527" s="16" t="s">
        <v>15</v>
      </c>
      <c r="F527" s="16" t="s">
        <v>19</v>
      </c>
      <c r="G527" s="6">
        <v>200000</v>
      </c>
      <c r="H527" s="15"/>
      <c r="L527" s="6">
        <f>Table946[[#This Row],[Harga Satuan]]*Table946[[#This Row],[Stock Akhir]]</f>
        <v>0</v>
      </c>
    </row>
    <row r="528" spans="1:12" hidden="1" x14ac:dyDescent="0.25">
      <c r="A528" s="5" cm="1">
        <f t="array" ref="A528">ROW()-ROW(Table946[#Headers])</f>
        <v>523</v>
      </c>
      <c r="D528" s="4" t="s">
        <v>955</v>
      </c>
      <c r="E528" s="4" t="s">
        <v>15</v>
      </c>
      <c r="F528" s="4" t="s">
        <v>19</v>
      </c>
      <c r="G528" s="6">
        <v>175000</v>
      </c>
      <c r="L528" s="6">
        <f>Table946[[#This Row],[Harga Satuan]]*Table946[[#This Row],[Stock Akhir]]</f>
        <v>0</v>
      </c>
    </row>
    <row r="529" spans="1:12" x14ac:dyDescent="0.25">
      <c r="A529" s="15" cm="1">
        <f t="array" ref="A529">ROW()-ROW(Table946[#Headers])</f>
        <v>524</v>
      </c>
      <c r="B529" s="16" t="s">
        <v>570</v>
      </c>
      <c r="C529" s="16" t="s">
        <v>956</v>
      </c>
      <c r="D529" s="16" t="s">
        <v>957</v>
      </c>
      <c r="E529" s="16" t="s">
        <v>15</v>
      </c>
      <c r="F529" s="16" t="s">
        <v>19</v>
      </c>
      <c r="G529" s="6">
        <v>450000</v>
      </c>
      <c r="H529" s="15"/>
      <c r="L529" s="6">
        <f>Table946[[#This Row],[Harga Satuan]]*Table946[[#This Row],[Stock Akhir]]</f>
        <v>0</v>
      </c>
    </row>
    <row r="530" spans="1:12" x14ac:dyDescent="0.25">
      <c r="A530" s="15" cm="1">
        <f t="array" ref="A530">ROW()-ROW(Table946[#Headers])</f>
        <v>525</v>
      </c>
      <c r="B530" s="16" t="s">
        <v>570</v>
      </c>
      <c r="C530" s="16" t="s">
        <v>958</v>
      </c>
      <c r="D530" s="16" t="s">
        <v>959</v>
      </c>
      <c r="E530" s="16" t="s">
        <v>15</v>
      </c>
      <c r="F530" s="16" t="s">
        <v>19</v>
      </c>
      <c r="G530" s="6">
        <v>350000</v>
      </c>
      <c r="H530" s="15"/>
      <c r="L530" s="6">
        <f>Table946[[#This Row],[Harga Satuan]]*Table946[[#This Row],[Stock Akhir]]</f>
        <v>0</v>
      </c>
    </row>
    <row r="531" spans="1:12" x14ac:dyDescent="0.25">
      <c r="A531" s="15" cm="1">
        <f t="array" ref="A531">ROW()-ROW(Table946[#Headers])</f>
        <v>526</v>
      </c>
      <c r="B531" s="16" t="s">
        <v>570</v>
      </c>
      <c r="C531" s="16" t="s">
        <v>960</v>
      </c>
      <c r="D531" s="16" t="s">
        <v>961</v>
      </c>
      <c r="E531" s="16" t="s">
        <v>15</v>
      </c>
      <c r="F531" s="16" t="s">
        <v>19</v>
      </c>
      <c r="G531" s="6">
        <v>350000</v>
      </c>
      <c r="H531" s="15"/>
      <c r="L531" s="6">
        <f>Table946[[#This Row],[Harga Satuan]]*Table946[[#This Row],[Stock Akhir]]</f>
        <v>0</v>
      </c>
    </row>
    <row r="532" spans="1:12" x14ac:dyDescent="0.25">
      <c r="A532" s="15" cm="1">
        <f t="array" ref="A532">ROW()-ROW(Table946[#Headers])</f>
        <v>527</v>
      </c>
      <c r="B532" s="16" t="s">
        <v>570</v>
      </c>
      <c r="C532" s="16" t="s">
        <v>962</v>
      </c>
      <c r="D532" s="16" t="s">
        <v>963</v>
      </c>
      <c r="E532" s="16" t="s">
        <v>15</v>
      </c>
      <c r="F532" s="16" t="s">
        <v>19</v>
      </c>
      <c r="G532" s="6">
        <v>1250000</v>
      </c>
      <c r="H532" s="15"/>
      <c r="L532" s="6">
        <f>Table946[[#This Row],[Harga Satuan]]*Table946[[#This Row],[Stock Akhir]]</f>
        <v>0</v>
      </c>
    </row>
    <row r="533" spans="1:12" x14ac:dyDescent="0.25">
      <c r="A533" s="15" cm="1">
        <f t="array" ref="A533">ROW()-ROW(Table946[#Headers])</f>
        <v>528</v>
      </c>
      <c r="B533" s="16" t="s">
        <v>570</v>
      </c>
      <c r="C533" s="16" t="s">
        <v>964</v>
      </c>
      <c r="D533" s="16" t="s">
        <v>965</v>
      </c>
      <c r="E533" s="16" t="s">
        <v>15</v>
      </c>
      <c r="F533" s="16" t="s">
        <v>19</v>
      </c>
      <c r="G533" s="6">
        <v>308698</v>
      </c>
      <c r="H533" s="15"/>
      <c r="L533" s="6">
        <f>Table946[[#This Row],[Harga Satuan]]*Table946[[#This Row],[Stock Akhir]]</f>
        <v>0</v>
      </c>
    </row>
    <row r="534" spans="1:12" x14ac:dyDescent="0.25">
      <c r="A534" s="15" cm="1">
        <f t="array" ref="A534">ROW()-ROW(Table946[#Headers])</f>
        <v>529</v>
      </c>
      <c r="B534" s="16" t="s">
        <v>570</v>
      </c>
      <c r="C534" s="16" t="s">
        <v>966</v>
      </c>
      <c r="D534" s="16" t="s">
        <v>967</v>
      </c>
      <c r="E534" s="16" t="s">
        <v>15</v>
      </c>
      <c r="F534" s="16" t="s">
        <v>19</v>
      </c>
      <c r="G534" s="6">
        <v>5300000</v>
      </c>
      <c r="H534" s="15"/>
      <c r="L534" s="6">
        <f>Table946[[#This Row],[Harga Satuan]]*Table946[[#This Row],[Stock Akhir]]</f>
        <v>0</v>
      </c>
    </row>
    <row r="535" spans="1:12" x14ac:dyDescent="0.25">
      <c r="A535" s="15" cm="1">
        <f t="array" ref="A535">ROW()-ROW(Table946[#Headers])</f>
        <v>530</v>
      </c>
      <c r="B535" s="16" t="s">
        <v>570</v>
      </c>
      <c r="C535" s="16" t="s">
        <v>968</v>
      </c>
      <c r="D535" s="16" t="s">
        <v>969</v>
      </c>
      <c r="E535" s="16" t="s">
        <v>15</v>
      </c>
      <c r="F535" s="16" t="s">
        <v>19</v>
      </c>
      <c r="G535" s="6">
        <v>5300000</v>
      </c>
      <c r="H535" s="15"/>
      <c r="L535" s="6">
        <f>Table946[[#This Row],[Harga Satuan]]*Table946[[#This Row],[Stock Akhir]]</f>
        <v>0</v>
      </c>
    </row>
    <row r="536" spans="1:12" x14ac:dyDescent="0.25">
      <c r="A536" s="15" cm="1">
        <f t="array" ref="A536">ROW()-ROW(Table946[#Headers])</f>
        <v>531</v>
      </c>
      <c r="B536" s="16" t="s">
        <v>570</v>
      </c>
      <c r="C536" s="16" t="s">
        <v>970</v>
      </c>
      <c r="D536" s="16" t="s">
        <v>971</v>
      </c>
      <c r="E536" s="16" t="s">
        <v>15</v>
      </c>
      <c r="F536" s="16" t="s">
        <v>19</v>
      </c>
      <c r="G536" s="6">
        <v>5300000</v>
      </c>
      <c r="H536" s="15"/>
      <c r="L536" s="6">
        <f>Table946[[#This Row],[Harga Satuan]]*Table946[[#This Row],[Stock Akhir]]</f>
        <v>0</v>
      </c>
    </row>
    <row r="537" spans="1:12" x14ac:dyDescent="0.25">
      <c r="A537" s="15" cm="1">
        <f t="array" ref="A537">ROW()-ROW(Table946[#Headers])</f>
        <v>532</v>
      </c>
      <c r="B537" s="16" t="s">
        <v>570</v>
      </c>
      <c r="C537" s="16" t="s">
        <v>972</v>
      </c>
      <c r="D537" s="16" t="s">
        <v>973</v>
      </c>
      <c r="E537" s="16" t="s">
        <v>15</v>
      </c>
      <c r="F537" s="16" t="s">
        <v>19</v>
      </c>
      <c r="G537" s="6">
        <v>8198198</v>
      </c>
      <c r="H537" s="15"/>
      <c r="L537" s="6">
        <f>Table946[[#This Row],[Harga Satuan]]*Table946[[#This Row],[Stock Akhir]]</f>
        <v>0</v>
      </c>
    </row>
    <row r="538" spans="1:12" x14ac:dyDescent="0.25">
      <c r="A538" s="15" cm="1">
        <f t="array" ref="A538">ROW()-ROW(Table946[#Headers])</f>
        <v>533</v>
      </c>
      <c r="B538" s="16" t="s">
        <v>570</v>
      </c>
      <c r="C538" s="16" t="s">
        <v>974</v>
      </c>
      <c r="D538" s="16" t="s">
        <v>975</v>
      </c>
      <c r="E538" s="16" t="s">
        <v>15</v>
      </c>
      <c r="F538" s="16" t="s">
        <v>19</v>
      </c>
      <c r="G538" s="6">
        <v>8198198</v>
      </c>
      <c r="H538" s="15"/>
      <c r="L538" s="6">
        <f>Table946[[#This Row],[Harga Satuan]]*Table946[[#This Row],[Stock Akhir]]</f>
        <v>0</v>
      </c>
    </row>
    <row r="539" spans="1:12" x14ac:dyDescent="0.25">
      <c r="A539" s="7" t="s">
        <v>976</v>
      </c>
      <c r="B539" s="8"/>
      <c r="C539" s="8"/>
      <c r="D539" s="8"/>
      <c r="E539" s="8"/>
      <c r="F539" s="8"/>
      <c r="G539" s="9">
        <f>SUBTOTAL(109,Table946[Harga Satuan])</f>
        <v>128635225.56999999</v>
      </c>
      <c r="H539" s="7"/>
      <c r="I539" s="7"/>
      <c r="J539" s="7"/>
      <c r="K539" s="10"/>
      <c r="L539" s="11">
        <f>SUBTOTAL(109,Table946[Total Persediaan])</f>
        <v>0</v>
      </c>
    </row>
  </sheetData>
  <pageMargins left="0.7" right="0.7" top="0.75" bottom="0.75" header="0.3" footer="0.3"/>
  <pageSetup paperSize="9" scale="60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Inven-Mei</vt:lpstr>
      <vt:lpstr>'Inven-Mei'!Print_Area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2026-09-08T03:52:19Z</cp:lastPrinted>
  <dcterms:created xsi:type="dcterms:W3CDTF">2026-06-10T03:39:04Z</dcterms:created>
  <dcterms:modified xsi:type="dcterms:W3CDTF">2026-09-08T04:46:54Z</dcterms:modified>
</cp:coreProperties>
</file>